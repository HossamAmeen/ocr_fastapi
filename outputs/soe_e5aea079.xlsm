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ading" hidden="0" function="0" vbProcedure="0">#ref!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man" hidden="0" function="0" vbProcedure="0">#ref!</definedName>
    <definedName name="SALESRECORD" hidden="0" function="0" vbProcedure="0">'[44]7-30-04'!$GO$7457</definedName>
    <definedName name="Sales_Contacts" hidden="0" function="0" vbProcedure="0">#ref!</definedName>
    <definedName name="SALES_CUST" hidden="0" function="0" vbProcedure="0">'[44]7-30-04'!$GO$7457</definedName>
    <definedName name="Sales_Explosive_Type" hidden="0" function="0" vbProcedure="0">#ref!</definedName>
    <definedName name="Sales_Gun_Size" hidden="0" function="0" vbProcedure="0">#ref!</definedName>
    <definedName name="Sales_Lease" hidden="0" function="0" vbProcedure="0">#ref!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_Fact_DH" hidden="0" function="0" vbProcedure="0">#ref!</definedName>
    <definedName name="Z_Fact_Surf" hidden="0" function="0" vbProcedure="0">#ref!</definedName>
    <definedName name="_" hidden="0" function="0" vbProcedure="0">#ref!</definedName>
    <definedName name="_0"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0" function="0" vbProcedure="0">#ref!</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a_0" hidden="1" function="0" vbProcedure="0">{#N/A,#N/A,FALSE,"Volume"}</definedName>
    <definedName name="_B" hidden="0" function="0" vbProcedure="0">#ref!</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b_0" hidden="1" function="0" vbProcedure="0">{#N/A,#N/A,FALSE,"Volume"}</definedName>
    <definedName name="_C" hidden="0" function="0" vbProcedure="0">#ref!</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c_0" hidden="1" function="0" vbProcedure="0">{#N/A,#N/A,FALSE,"Volume"}</definedName>
    <definedName name="_D"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E"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F" hidden="0" function="0" vbProcedure="0">#ref!</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G" hidden="0" function="0" vbProcedure="0">#ref!</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g_0" hidden="1" function="0" vbProcedure="0">{#N/A,#N/A,FALSE,"Volume"}</definedName>
    <definedName name="_H" hidden="0" function="0" vbProcedure="0">#ref!</definedName>
    <definedName name="_h_0" hidden="1" function="0" vbProcedure="0">{#N/A,#N/A,FALSE,"Volume"}</definedName>
    <definedName name="_I" hidden="0" function="0" vbProcedure="0">#ref!</definedName>
    <definedName name="_iw" hidden="1" function="0" vbProcedure="0">[22]mkn06!#ref!</definedName>
    <definedName name="_i_0" hidden="1" function="0" vbProcedure="0">{#N/A,#N/A,FALSE,"Volume"}</definedName>
    <definedName name="_J" hidden="0" function="0" vbProcedure="0">#ref!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Key1" hidden="1" function="0" vbProcedure="0">#ref!</definedName>
    <definedName name="_L" hidden="0"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 hidden="0" function="0" vbProcedure="0">#ref!</definedName>
    <definedName name="_num15" hidden="0" function="0" vbProcedure="0">#ref!</definedName>
    <definedName name="_O"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0" function="0" vbProcedure="0">#ref!</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P_0" hidden="1" function="0" vbProcedure="0">{#N/A,#N/A,FALSE,"Volume"}</definedName>
    <definedName name="_Q" hidden="0" function="0" vbProcedure="0">#ref!</definedName>
    <definedName name="_R"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 hidden="1" function="0" vbProcedure="0">{#N/A,#N/A,FALSE,"Volume"}</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UA38" hidden="0" function="0" vbProcedure="0">[26]!_UA38</definedName>
    <definedName name="_V" hidden="0" function="0" vbProcedure="0">#ref!</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0" function="0" vbProcedure="0">'[1]run sheet'!#ref!</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x_0" hidden="1" function="0" vbProcedure="0">{#N/A,#N/A,FALSE,"Volume"}</definedName>
    <definedName name="_Y" hidden="0" function="0" vbProcedure="0">#ref!</definedName>
    <definedName name="_Z" hidden="0" function="0" vbProcedure="0">#ref!</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z_0"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'SOE'!$A$1:$S$30</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udout" localSheetId="8" hidden="1" function="0" vbProcedure="0">[151]Run!$D$15:$D$512</definedName>
    <definedName name="LS" localSheetId="8" hidden="0" function="0" vbProcedure="0">'[189]amberjack a32ream'!#ref!</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_Fact_DH" localSheetId="8" hidden="0" function="0" vbProcedure="0">'[108]Tester Valve Calcs'!$F$23</definedName>
    <definedName name="Z_Fact_Surf" localSheetId="8" hidden="0" function="0" vbProcedure="0">'[108]Tester Valve Calcs'!$F$18</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0" function="0" vbProcedure="0">#ref!</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gn1" localSheetId="8" hidden="1" function="0" vbProcedure="0">{#N/A,#N/A,FALSE,"Sheet1"}</definedName>
    <definedName name="_b_0" localSheetId="8" hidden="1" function="0" vbProcedure="0">{#N/A,#N/A,FALSE,"Volume"}</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 localSheetId="8" hidden="1" function="0" vbProcedure="0">{#N/A,#N/A,FALSE,"Volume"}</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g" localSheetId="8" hidden="1" function="0" vbProcedure="0">{#N/A,#N/A,FALSE,"Volume"}</definedName>
    <definedName name="_gmh1" localSheetId="8" hidden="1" function="0" vbProcedure="0">{#N/A,#N/A,FALSE,"Sheet1"}</definedName>
    <definedName name="_h" localSheetId="8" hidden="1" function="0" vbProcedure="0">{#N/A,#N/A,FALSE,"Volume"}</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q" localSheetId="8" hidden="0" function="0" vbProcedure="0">'[3]run sheet'!#ref!</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 localSheetId="8" hidden="1" function="0" vbProcedure="0">{#N/A,#N/A,FALSE,"Volume"}</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UA38" localSheetId="8" hidden="0" function="0" vbProcedure="0">[27]!_UA38</definedName>
    <definedName name="_V" localSheetId="8" hidden="0" function="0" vbProcedure="0">#ref!</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[180]钻井日报表!$B$1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[181]Reference!$A$2:$A$4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'[182]CODE SIN'!$A$3:$A$240</definedName>
    <definedName name="CODETAB" localSheetId="9" hidden="0" function="0" vbProcedure="0">'[182]CODE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[181]Reference!$B$2:$B$12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udout" localSheetId="9" hidden="1" function="0" vbProcedure="0">[151]Run!$D$15:$D$512</definedName>
    <definedName name="LS" localSheetId="9" hidden="0" function="0" vbProcedure="0">'[189]amberjack a32ream'!#ref!</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[181]Reference!$D$2</definedName>
    <definedName name="TLDENG" localSheetId="9" hidden="0" function="0" vbProcedure="0">[181]Reference!$C$2</definedName>
    <definedName name="TLDOPS" localSheetId="9" hidden="0" function="0" vbProcedure="0">[181]Reference!$E$2:$E$3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_Fact_DH" localSheetId="9" hidden="0" function="0" vbProcedure="0">'[108]Tester Valve Calcs'!$F$23</definedName>
    <definedName name="Z_Fact_Surf" localSheetId="9" hidden="0" function="0" vbProcedure="0">'[108]Tester Valve Calcs'!$F$18</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'[1]run sheet'!#ref!</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a_0"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'[1]run sheet'!#ref!</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c_0" localSheetId="9" hidden="0" function="0" vbProcedure="0">{#N/A,#N/A,FALSE,"Volume"}</definedName>
    <definedName name="_D" localSheetId="9" hidden="0" function="0" vbProcedure="0">'[1]run sheet'!#ref!</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d_0" localSheetId="9" hidden="0" function="0" vbProcedure="0">{#N/A,#N/A,FALSE,"Volume"}</definedName>
    <definedName name="_E" localSheetId="9" hidden="0" function="0" vbProcedure="0">'[1]run sheet'!#ref!</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e_0" localSheetId="9" hidden="0" function="0" vbProcedure="0">{#N/A,#N/A,FALSE,"Volume"}</definedName>
    <definedName name="_f" localSheetId="9" hidden="0" function="0" vbProcedure="0">{#N/A,#N/A,FALSE,"Volume"}</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g" localSheetId="9" hidden="0" function="0" vbProcedure="0">{#N/A,#N/A,FALSE,"Volume"}</definedName>
    <definedName name="_gmh1" localSheetId="9" hidden="1" function="0" vbProcedure="0">{#N/A,#N/A,FALSE,"Sheet1"}</definedName>
    <definedName name="_h" localSheetId="9" hidden="0" function="0" vbProcedure="0">{#N/A,#N/A,FALSE,"Volume"}</definedName>
    <definedName name="_I" localSheetId="9" hidden="0" function="0" vbProcedure="0">'[1]run sheet'!#ref!</definedName>
    <definedName name="_i_0" localSheetId="9" hidden="0" function="0" vbProcedure="0">{#N/A,#N/A,FALSE,"Volume"}</definedName>
    <definedName name="_Key1" localSheetId="9" hidden="1" function="0" vbProcedure="0">#ref!</definedName>
    <definedName name="_L" localSheetId="9" hidden="0" function="0" vbProcedure="0">'[1]run sheet'!#ref!</definedName>
    <definedName name="_lyc7" localSheetId="9" hidden="0" function="0" vbProcedure="0">[119]钻井日报表!$G$5</definedName>
    <definedName name="_N" localSheetId="9" hidden="0" function="0" vbProcedure="0">'[1]run sheet'!#ref!</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q" localSheetId="9" hidden="0" function="0" vbProcedure="0">'[3]run sheet'!#ref!</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 localSheetId="9" hidden="0" function="0" vbProcedure="0">{#N/A,#N/A,FALSE,"Volume"}</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'[1]run sheet'!#ref!</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z_0"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[183]Run!$B$18:$B$512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[183]Run!$B$18:$B$512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[183]Run!$B$18:$B$512</definedName>
    <definedName name="歼击机" localSheetId="9" hidden="0" function="0" vbProcedure="0">[119]钻井日报表!$E$7</definedName>
    <definedName name="起始日期" localSheetId="9" hidden="0" function="0" vbProcedure="0">[180]钻井日报表!$B$1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[184]Reference!$A$2:$A$4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[185]Data!$A$1:$A$65536</definedName>
    <definedName name="Customer2" localSheetId="10" hidden="0" function="0" vbProcedure="0">[185]Data!$B$1:$B$65536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[184]Reference!$F$2:$F$3</definedName>
    <definedName name="DENG" localSheetId="10" hidden="0" function="0" vbProcedure="0">[184]Reference!$B$2:$B$12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[186]References!$L$1:$M$7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[187]钻井日报表!$E$7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[187]钻井日报表!$G$8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[185]Data!$L$1:$L$65536</definedName>
    <definedName name="JobType" localSheetId="10" hidden="0" function="0" vbProcedure="0">[6]Sheet1!$A$11:$A$16</definedName>
    <definedName name="Jobtype1" localSheetId="10" hidden="0" function="0" vbProcedure="0">[185]Data!$N$1:$N$65536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udout" localSheetId="10" hidden="1" function="0" vbProcedure="0">[63]Run!$D$15:$D$512</definedName>
    <definedName name="LS" localSheetId="10" hidden="0" function="0" vbProcedure="0">'[189]amberjack a32ream'!#ref!</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[186]References!$H$1:$I$12</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'[188]井口装置示意图-4'!$E$1:$E$65536</definedName>
    <definedName name="NEBRIGS" localSheetId="10" hidden="0" function="0" vbProcedure="0">[186]References!$D$1:$D$15</definedName>
    <definedName name="netperf" localSheetId="10" hidden="0" function="0" vbProcedure="0">[5]WTR!$G$33</definedName>
    <definedName name="NET_PERFS" localSheetId="10" hidden="0" function="0" vbProcedure="0">'[113]#REF'!$F$20</definedName>
    <definedName name="NewData" localSheetId="10" hidden="0" function="0" vbProcedure="0">'[185]New Contract'!$A$1:$G$65536</definedName>
    <definedName name="NewDes" localSheetId="10" hidden="0" function="0" vbProcedure="0">'[185]New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[189]Inputs!$F$1:$F$3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[185]Data!$P$1:$P$65536</definedName>
    <definedName name="Perv.Macro140" localSheetId="10" hidden="0" function="0" vbProcedure="0">[49]!Prev.Macro102</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fitcntr1" localSheetId="10" hidden="0" function="0" vbProcedure="0">[185]Data!$I$1:$I$65536</definedName>
    <definedName name="Prog" localSheetId="10" hidden="0" function="0" vbProcedure="0">[186]References!$E$1:$E$4</definedName>
    <definedName name="Project" localSheetId="10" hidden="0" function="0" vbProcedure="0">'[94]Job Technical Info'!$G$12</definedName>
    <definedName name="ProppantName" localSheetId="10" hidden="0" function="0" vbProcedure="0">'[94]Installation Results #1'!$B$326</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'[190]2B Raw Rig Tally'!$B$13:$D$501</definedName>
    <definedName name="raw_tally_upper" localSheetId="10" hidden="0" function="0" vbProcedure="0">'[190]2B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[185]Data!$G$1:$G$65536</definedName>
    <definedName name="Rigname1" localSheetId="10" hidden="0" function="0" vbProcedure="0">[185]Data!$E$1:$E$65536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[186]References!$A$1:$A$3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[187]钻井日报表!$G$3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[186]References!$B$1:$B$15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[191]Tally!$E$5:$G$1004</definedName>
    <definedName name="Tally_3" localSheetId="10" hidden="0" function="0" vbProcedure="0">[191]Tally!$I$5:$K$1004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2" localSheetId="10" hidden="0" function="0" vbProcedure="0">#ref!</definedName>
    <definedName name="TLCENG" localSheetId="10" hidden="0" function="0" vbProcedure="0">[184]Reference!$D$2</definedName>
    <definedName name="TLDENG" localSheetId="10" hidden="0" function="0" vbProcedure="0">[184]Reference!$C$2</definedName>
    <definedName name="TLDOPS" localSheetId="10" hidden="0" function="0" vbProcedure="0">[184]Reference!$E$2:$E$3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[186]References!$F$1:$F$2</definedName>
    <definedName name="TYPEOFPLUG" localSheetId="10" hidden="0" function="0" vbProcedure="0">'[192]DATA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[185]Data!$K$1:$K$65536</definedName>
    <definedName name="Welllocation1" localSheetId="10" hidden="0" function="0" vbProcedure="0">[185]Data!$M$1:$M$65536</definedName>
    <definedName name="WellMD" localSheetId="10" hidden="0" function="0" vbProcedure="0">'[94]Job Technical Info'!$H$41</definedName>
    <definedName name="WellNo" localSheetId="10" hidden="0" function="0" vbProcedure="0">'[88]Report Long(Esso)'!$E$2</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_Fact_DH" localSheetId="10" hidden="0" function="0" vbProcedure="0">'[108]Tester Valve Calcs'!$F$23</definedName>
    <definedName name="Z_Fact_Surf" localSheetId="10" hidden="0" function="0" vbProcedure="0">'[108]Tester Valve Calcs'!$F$18</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'[1]run sheet'!#ref!</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a_0" localSheetId="10" hidden="0" function="0" vbProcedure="0">{#N/A,#N/A,FALSE,"Volume"}</definedName>
    <definedName name="_B" localSheetId="10" hidden="0" function="0" vbProcedure="0">#ref!</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b_0" localSheetId="10" hidden="0" function="0" vbProcedure="0">{#N/A,#N/A,FALSE,"Volume"}</definedName>
    <definedName name="_C" localSheetId="10" hidden="0" function="0" vbProcedure="0">'[1]run sheet'!#ref!</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c_0" localSheetId="10" hidden="0" function="0" vbProcedure="0">{#N/A,#N/A,FALSE,"Volume"}</definedName>
    <definedName name="_D" localSheetId="10" hidden="0" function="0" vbProcedure="0">'[1]run sheet'!#ref!</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d_0" localSheetId="10" hidden="0" function="0" vbProcedure="0">{#N/A,#N/A,FALSE,"Volume"}</definedName>
    <definedName name="_E" localSheetId="10" hidden="0" function="0" vbProcedure="0">'[1]run sheet'!#ref!</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e_0" localSheetId="10" hidden="0" function="0" vbProcedure="0">{#N/A,#N/A,FALSE,"Volume"}</definedName>
    <definedName name="_f" localSheetId="10" hidden="0" function="0" vbProcedure="0">{#N/A,#N/A,FALSE,"Volume"}</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g" localSheetId="10" hidden="0" function="0" vbProcedure="0">{#N/A,#N/A,FALSE,"Volume"}</definedName>
    <definedName name="_gmh1" localSheetId="10" hidden="1" function="0" vbProcedure="0">{#N/A,#N/A,FALSE,"Sheet1"}</definedName>
    <definedName name="_h" localSheetId="10" hidden="0" function="0" vbProcedure="0">{#N/A,#N/A,FALSE,"Volume"}</definedName>
    <definedName name="_I" localSheetId="10" hidden="0" function="0" vbProcedure="0">'[1]run sheet'!#ref!</definedName>
    <definedName name="_i_0" localSheetId="10" hidden="0" function="0" vbProcedure="0">{#N/A,#N/A,FALSE,"Volume"}</definedName>
    <definedName name="_J" localSheetId="10" hidden="0" function="0" vbProcedure="0">'[1]run sheet'!#ref!</definedName>
    <definedName name="_Key1" localSheetId="10" hidden="1" function="0" vbProcedure="0">#ref!</definedName>
    <definedName name="_L" localSheetId="10" hidden="0" function="0" vbProcedure="0">'[1]run sheet'!#ref!</definedName>
    <definedName name="_lyc7" localSheetId="10" hidden="0" function="0" vbProcedure="0">[119]钻井日报表!$G$5</definedName>
    <definedName name="_N" localSheetId="10" hidden="0" function="0" vbProcedure="0">'[1]run sheet'!#ref!</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q" localSheetId="10" hidden="0" function="0" vbProcedure="0">'[3]run sheet'!#ref!</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 localSheetId="10" hidden="0" function="0" vbProcedure="0">{#N/A,#N/A,FALSE,"Volume"}</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UA38" localSheetId="10" hidden="0" function="0" vbProcedure="0">[26]!_UA38</definedName>
    <definedName name="_V" localSheetId="10" hidden="0" function="0" vbProcedure="0">#ref!</definedName>
    <definedName name="_wrn1" localSheetId="10" hidden="0" function="0" vbProcedure="0">{#N/A,#N/A,FALSE,"Volume"}</definedName>
    <definedName name="_X" localSheetId="10" hidden="0" function="0" vbProcedure="0">'[1]run sheet'!#ref!</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x_0" localSheetId="10" hidden="0" function="0" vbProcedure="0">{#N/A,#N/A,FALSE,"Volume"}</definedName>
    <definedName name="_Z" localSheetId="10" hidden="0" function="0" vbProcedure="0">'[1]run sheet'!#ref!</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z_0"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[183]Run!$B$18:$B$512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[183]Run!$B$18:$B$512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[183]Run!$B$18:$B$512</definedName>
    <definedName name="歼击机" localSheetId="10" hidden="0" function="0" vbProcedure="0">[193]钻井日报表!$E$7</definedName>
    <definedName name="起始日期" localSheetId="10" hidden="0" function="0" vbProcedure="0">[180]钻井日报表!$B$1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6">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dd\-mmm\-yy"/>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 numFmtId="179" formatCode="dd-mmm-yy"/>
  </numFmts>
  <fonts count="140">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b val="1"/>
      <sz val="12"/>
    </font>
    <font>
      <name val="Calibri"/>
      <charset val="1"/>
      <family val="2"/>
      <sz val="14"/>
    </font>
    <font>
      <name val="Calibri"/>
      <charset val="1"/>
      <family val="2"/>
      <color rgb="FF808080"/>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b val="1"/>
      <color theme="1"/>
      <sz val="11.5"/>
    </font>
    <font>
      <name val="Calibri"/>
      <charset val="1"/>
      <family val="2"/>
      <color theme="1"/>
      <sz val="6.5"/>
    </font>
    <font>
      <name val="Arial"/>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Calibri"/>
      <charset val="1"/>
      <family val="2"/>
      <b val="1"/>
      <color theme="1"/>
      <sz val="9"/>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b val="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b val="1"/>
      <sz val="18"/>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B2ED07"/>
        <bgColor rgb="FFFFFF00"/>
      </patternFill>
    </fill>
    <fill>
      <patternFill patternType="darkGray">
        <fgColor rgb="FFB2ED07"/>
        <bgColor rgb="FFA9D18E"/>
      </patternFill>
    </fill>
    <fill>
      <patternFill patternType="darkGray">
        <fgColor rgb="FF02A440"/>
        <bgColor rgb="FF1A589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5B8CD"/>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ECE8C1"/>
      </patternFill>
    </fill>
    <fill>
      <patternFill patternType="solid">
        <fgColor rgb="FFE2D7E1"/>
        <bgColor rgb="FFDBDBDB"/>
      </patternFill>
    </fill>
    <fill>
      <patternFill patternType="solid">
        <fgColor rgb="FFBECBBD"/>
        <bgColor rgb="FFBBC7C0"/>
      </patternFill>
    </fill>
    <fill>
      <patternFill patternType="solid">
        <fgColor rgb="FFECE8C1"/>
        <bgColor rgb="FFE3EBBA"/>
      </patternFill>
    </fill>
    <fill>
      <patternFill patternType="solid">
        <fgColor rgb="FFBEBCE9"/>
        <bgColor rgb="FFC3C7E6"/>
      </patternFill>
    </fill>
    <fill>
      <patternFill patternType="mediumGray">
        <fgColor rgb="FF1A589A"/>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1">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thin"/>
      <right/>
      <top style="thin"/>
      <bottom style="thin"/>
      <diagonal/>
    </border>
    <border>
      <left/>
      <right/>
      <top style="medium"/>
      <bottom/>
      <diagonal/>
    </border>
    <border>
      <left/>
      <right style="medium"/>
      <top style="medium"/>
      <bottom/>
      <diagonal/>
    </border>
    <border>
      <left style="medium"/>
      <right/>
      <top style="thin"/>
      <bottom style="thin"/>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B5B8CD"/>
      </bottom>
      <diagonal/>
    </border>
    <border>
      <left/>
      <right style="medium">
        <color rgb="FF333333"/>
      </right>
      <top style="thin">
        <color rgb="FFB5B8CD"/>
      </top>
      <bottom style="thin">
        <color rgb="FFB5B8CD"/>
      </bottom>
      <diagonal/>
    </border>
    <border>
      <left/>
      <right/>
      <top/>
      <bottom style="medium">
        <color rgb="FF333333"/>
      </bottom>
      <diagonal/>
    </border>
    <border>
      <left/>
      <right style="medium">
        <color rgb="FF333333"/>
      </right>
      <top style="thin">
        <color rgb="FFB5B8CD"/>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style="medium"/>
      <right style="medium"/>
      <top style="thin"/>
      <bottom/>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B5B8CD"/>
      </bottom>
      <diagonal/>
    </border>
    <border>
      <left/>
      <right/>
      <top style="thin">
        <color rgb="FFB5B8CD"/>
      </top>
      <bottom/>
      <diagonal/>
    </border>
    <border>
      <left/>
      <right style="medium">
        <color rgb="FF333333"/>
      </right>
      <top style="thin">
        <color rgb="FFB5B8CD"/>
      </top>
      <bottom/>
      <diagonal/>
    </border>
    <border>
      <left/>
      <right/>
      <top style="thin">
        <color rgb="FFB5B8CD"/>
      </top>
      <bottom style="thin">
        <color rgb="FFB5B8CD"/>
      </bottom>
      <diagonal/>
    </border>
    <border>
      <left/>
      <right/>
      <top style="thin">
        <color rgb="FFB5B8CD"/>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s>
  <cellStyleXfs count="18">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3" fillId="0" borderId="0"/>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19">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3" fillId="0" borderId="5" applyAlignment="1" pivotButton="0" quotePrefix="0" xfId="0">
      <alignment horizontal="center" vertical="center" wrapText="1"/>
    </xf>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23" fillId="0" borderId="20" applyAlignment="1" pivotButton="0" quotePrefix="0" xfId="0">
      <alignment horizontal="center" vertical="center" wrapText="1"/>
    </xf>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23" fillId="0" borderId="0" applyAlignment="1" pivotButton="0" quotePrefix="0" xfId="0">
      <alignment horizontal="general" vertical="bottom" wrapText="1"/>
    </xf>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66" fontId="28" fillId="4" borderId="9" applyAlignment="1" applyProtection="1" pivotButton="0" quotePrefix="0" xfId="0">
      <alignment horizontal="center" vertical="center" wrapText="1"/>
      <protection locked="0" hidden="0"/>
    </xf>
    <xf numFmtId="20" fontId="28" fillId="6" borderId="6" applyAlignment="1" applyProtection="1" pivotButton="0" quotePrefix="0" xfId="0">
      <alignment horizontal="center" vertical="center" wrapText="1"/>
      <protection locked="0" hidden="0"/>
    </xf>
    <xf numFmtId="0" fontId="26" fillId="3" borderId="8" applyAlignment="1" applyProtection="1" pivotButton="0" quotePrefix="0" xfId="0">
      <alignment horizontal="general" vertical="center" wrapText="1"/>
      <protection locked="0" hidden="0"/>
    </xf>
    <xf numFmtId="166" fontId="28" fillId="2" borderId="9" applyAlignment="1" applyProtection="1" pivotButton="0" quotePrefix="0" xfId="0">
      <alignment horizontal="center" vertical="center" wrapText="1"/>
      <protection locked="0" hidden="0"/>
    </xf>
    <xf numFmtId="2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29" fillId="0" borderId="6" applyAlignment="1" applyProtection="1" pivotButton="0" quotePrefix="0" xfId="0">
      <alignment horizontal="center" vertical="center" wrapText="1"/>
      <protection locked="0" hidden="0"/>
    </xf>
    <xf numFmtId="20" fontId="29" fillId="0" borderId="6" applyAlignment="1" applyProtection="1" pivotButton="0" quotePrefix="0" xfId="0">
      <alignment horizontal="center" vertical="bottom" wrapText="1"/>
      <protection locked="0" hidden="0"/>
    </xf>
    <xf numFmtId="170" fontId="28" fillId="2" borderId="24" applyAlignment="1" pivotButton="0" quotePrefix="0" xfId="0">
      <alignment horizontal="center" vertical="center" wrapText="1"/>
    </xf>
    <xf numFmtId="0" fontId="28" fillId="2" borderId="6" applyAlignment="1" pivotButton="0" quotePrefix="0" xfId="0">
      <alignment horizontal="center" vertical="center" wrapText="1"/>
    </xf>
    <xf numFmtId="0" fontId="26" fillId="2" borderId="27" applyAlignment="1" pivotButton="0" quotePrefix="0" xfId="0">
      <alignment horizontal="general" vertical="top"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170" fontId="28" fillId="2" borderId="30" applyAlignment="1" pivotButton="0" quotePrefix="0" xfId="0">
      <alignment horizontal="center" vertical="center" wrapText="1"/>
    </xf>
    <xf numFmtId="0" fontId="21" fillId="0" borderId="0" applyAlignment="1" applyProtection="1" pivotButton="0" quotePrefix="0" xfId="0">
      <alignment horizontal="general" vertical="bottom"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30" fillId="0" borderId="0" applyAlignment="1" applyProtection="1" pivotButton="0" quotePrefix="0" xfId="0">
      <alignment horizontal="general" vertical="center"/>
      <protection locked="0" hidden="0"/>
    </xf>
    <xf numFmtId="0" fontId="0" fillId="0" borderId="0" applyAlignment="1" applyProtection="1" pivotButton="0" quotePrefix="0" xfId="0">
      <alignment horizontal="general" vertical="bottom"/>
      <protection locked="0" hidden="0"/>
    </xf>
    <xf numFmtId="0" fontId="21" fillId="0" borderId="31" applyAlignment="1" applyProtection="1" pivotButton="0" quotePrefix="0" xfId="0">
      <alignment horizontal="general" vertical="bottom" wrapText="1"/>
      <protection locked="0" hidden="0"/>
    </xf>
    <xf numFmtId="0" fontId="28" fillId="0" borderId="31" applyAlignment="1" pivotButton="0" quotePrefix="0" xfId="0">
      <alignment horizontal="general" vertical="center" wrapText="1"/>
    </xf>
    <xf numFmtId="0" fontId="0" fillId="0" borderId="32" applyAlignment="1" applyProtection="1" pivotButton="0" quotePrefix="0" xfId="0">
      <alignment horizontal="general" vertical="bottom"/>
      <protection locked="0" hidden="0"/>
    </xf>
    <xf numFmtId="0" fontId="0" fillId="0" borderId="33" applyAlignment="1" applyProtection="1" pivotButton="0" quotePrefix="0" xfId="0">
      <alignment horizontal="general" vertical="bottom"/>
      <protection locked="0" hidden="0"/>
    </xf>
    <xf numFmtId="0" fontId="31" fillId="2" borderId="0" applyAlignment="1" applyProtection="1" pivotButton="0" quotePrefix="0" xfId="0">
      <alignment horizontal="general" vertical="center" wrapText="1"/>
      <protection locked="0" hidden="0"/>
    </xf>
    <xf numFmtId="0" fontId="32" fillId="0" borderId="0" applyAlignment="1" applyProtection="1" pivotButton="0" quotePrefix="0" xfId="0">
      <alignment horizontal="left" vertical="top"/>
      <protection locked="0" hidden="0"/>
    </xf>
    <xf numFmtId="0" fontId="32" fillId="0" borderId="1" applyAlignment="1" pivotButton="0" quotePrefix="0" xfId="0">
      <alignment horizontal="left" vertical="top"/>
    </xf>
    <xf numFmtId="0" fontId="32" fillId="0" borderId="2" applyAlignment="1" pivotButton="0" quotePrefix="0" xfId="0">
      <alignment horizontal="left" vertical="top"/>
    </xf>
    <xf numFmtId="0" fontId="32" fillId="0" borderId="3" applyAlignment="1" pivotButton="0" quotePrefix="0" xfId="0">
      <alignment horizontal="left" vertical="top"/>
    </xf>
    <xf numFmtId="0" fontId="33" fillId="7" borderId="4" applyAlignment="1" pivotButton="0" quotePrefix="0" xfId="0">
      <alignment horizontal="center" vertical="top"/>
    </xf>
    <xf numFmtId="0" fontId="34" fillId="0" borderId="34" applyAlignment="1" pivotButton="0" quotePrefix="0" xfId="0">
      <alignment horizontal="center" vertical="top" wrapText="1"/>
    </xf>
    <xf numFmtId="0" fontId="34" fillId="0" borderId="28" applyAlignment="1" pivotButton="0" quotePrefix="0" xfId="0">
      <alignment horizontal="left" vertical="center" wrapText="1"/>
    </xf>
    <xf numFmtId="0" fontId="34" fillId="0" borderId="28" applyAlignment="1" pivotButton="0" quotePrefix="0" xfId="0">
      <alignment horizontal="left" vertical="top" wrapText="1"/>
    </xf>
    <xf numFmtId="1" fontId="33" fillId="0" borderId="29" applyAlignment="1" pivotButton="0" quotePrefix="0" xfId="0">
      <alignment horizontal="left" vertical="top" shrinkToFit="1" indent="1"/>
    </xf>
    <xf numFmtId="0" fontId="34" fillId="0" borderId="35" applyAlignment="1" pivotButton="0" quotePrefix="0" xfId="0">
      <alignment horizontal="center" vertical="top" wrapText="1"/>
    </xf>
    <xf numFmtId="0" fontId="34" fillId="0" borderId="0" applyAlignment="1" pivotButton="0" quotePrefix="0" xfId="0">
      <alignment horizontal="left" vertical="center" wrapText="1"/>
    </xf>
    <xf numFmtId="0" fontId="34" fillId="0" borderId="0" applyAlignment="1" pivotButton="0" quotePrefix="0" xfId="0">
      <alignment horizontal="left" vertical="top" wrapText="1"/>
    </xf>
    <xf numFmtId="1" fontId="33" fillId="0" borderId="31" applyAlignment="1" pivotButton="0" quotePrefix="0" xfId="0">
      <alignment horizontal="left" vertical="top" shrinkToFit="1" indent="1"/>
    </xf>
    <xf numFmtId="0" fontId="34" fillId="0" borderId="33" applyAlignment="1" pivotButton="0" quotePrefix="0" xfId="0">
      <alignment horizontal="left" vertical="top" wrapText="1"/>
    </xf>
    <xf numFmtId="0" fontId="34" fillId="0" borderId="36" applyAlignment="1" pivotButton="0" quotePrefix="0" xfId="0">
      <alignment horizontal="center" vertical="top" wrapText="1"/>
    </xf>
    <xf numFmtId="1" fontId="33" fillId="0" borderId="37" applyAlignment="1" pivotButton="0" quotePrefix="0" xfId="0">
      <alignment horizontal="left" vertical="top" shrinkToFit="1" indent="1"/>
    </xf>
    <xf numFmtId="0" fontId="34" fillId="7" borderId="38" applyAlignment="1" pivotButton="0" quotePrefix="0" xfId="0">
      <alignment horizontal="center" vertical="center" wrapText="1"/>
    </xf>
    <xf numFmtId="0" fontId="34" fillId="7" borderId="39" applyAlignment="1" pivotButton="0" quotePrefix="0" xfId="0">
      <alignment horizontal="center" vertical="center" wrapText="1"/>
    </xf>
    <xf numFmtId="0" fontId="34" fillId="7" borderId="40" applyAlignment="1" pivotButton="0" quotePrefix="0" xfId="0">
      <alignment horizontal="center" vertical="center" wrapText="1"/>
    </xf>
    <xf numFmtId="0" fontId="34" fillId="7" borderId="41" applyAlignment="1" pivotButton="0" quotePrefix="0" xfId="0">
      <alignment horizontal="center" vertical="center" wrapText="1"/>
    </xf>
    <xf numFmtId="0" fontId="32" fillId="0" borderId="0" applyAlignment="1" applyProtection="1" pivotButton="0" quotePrefix="0" xfId="0">
      <alignment horizontal="center" vertical="center"/>
      <protection locked="0" hidden="0"/>
    </xf>
    <xf numFmtId="0" fontId="35" fillId="0" borderId="13" applyAlignment="1" applyProtection="1" pivotButton="0" quotePrefix="0" xfId="0">
      <alignment horizontal="center" vertical="center" wrapText="1"/>
      <protection locked="0" hidden="0"/>
    </xf>
    <xf numFmtId="0" fontId="35" fillId="0" borderId="7" applyAlignment="1" applyProtection="1" pivotButton="0" quotePrefix="0" xfId="0">
      <alignment horizontal="general" vertical="center" wrapText="1"/>
      <protection locked="0" hidden="0"/>
    </xf>
    <xf numFmtId="4" fontId="35" fillId="0" borderId="6" applyAlignment="1" applyProtection="1" pivotButton="0" quotePrefix="0" xfId="0">
      <alignment horizontal="right" vertical="center" shrinkToFit="1"/>
      <protection locked="0" hidden="0"/>
    </xf>
    <xf numFmtId="1" fontId="35" fillId="0" borderId="15" applyAlignment="1" applyProtection="1" pivotButton="0" quotePrefix="0" xfId="0">
      <alignment horizontal="center" vertical="center" shrinkToFit="1"/>
      <protection locked="0" hidden="0"/>
    </xf>
    <xf numFmtId="4" fontId="35" fillId="0" borderId="25" applyAlignment="1" applyProtection="1" pivotButton="0" quotePrefix="0" xfId="0">
      <alignment horizontal="right" vertical="center" shrinkToFit="1"/>
      <protection locked="0" hidden="0"/>
    </xf>
    <xf numFmtId="0" fontId="35" fillId="0" borderId="9" applyAlignment="1" applyProtection="1" pivotButton="0" quotePrefix="0" xfId="0">
      <alignment horizontal="center" vertical="center" wrapText="1"/>
      <protection locked="0" hidden="0"/>
    </xf>
    <xf numFmtId="0" fontId="35" fillId="0" borderId="6" applyAlignment="1" applyProtection="1" pivotButton="0" quotePrefix="0" xfId="0">
      <alignment horizontal="general" vertical="center" wrapText="1"/>
      <protection locked="0" hidden="0"/>
    </xf>
    <xf numFmtId="4" fontId="32" fillId="0" borderId="6" applyAlignment="1" applyProtection="1" pivotButton="0" quotePrefix="0" xfId="0">
      <alignment horizontal="right" vertical="center" shrinkToFit="1"/>
      <protection locked="0" hidden="0"/>
    </xf>
    <xf numFmtId="1" fontId="32" fillId="0" borderId="6" applyAlignment="1" applyProtection="1" pivotButton="0" quotePrefix="0" xfId="0">
      <alignment horizontal="center" vertical="center" shrinkToFit="1"/>
      <protection locked="0" hidden="0"/>
    </xf>
    <xf numFmtId="4" fontId="32" fillId="0" borderId="25" applyAlignment="1" applyProtection="1" pivotButton="0" quotePrefix="0" xfId="0">
      <alignment horizontal="right" vertical="center" shrinkToFit="1"/>
      <protection locked="0" hidden="0"/>
    </xf>
    <xf numFmtId="0" fontId="34" fillId="0" borderId="10" applyAlignment="1" applyProtection="1" pivotButton="0" quotePrefix="0" xfId="0">
      <alignment horizontal="left" vertical="top" wrapText="1"/>
      <protection locked="0" hidden="0"/>
    </xf>
    <xf numFmtId="0" fontId="34" fillId="0" borderId="6" applyAlignment="1" applyProtection="1" pivotButton="0" quotePrefix="0" xfId="0">
      <alignment horizontal="center" vertical="center" wrapText="1"/>
      <protection locked="0" hidden="0"/>
    </xf>
    <xf numFmtId="4" fontId="33" fillId="0" borderId="8" applyAlignment="1" applyProtection="1" pivotButton="0" quotePrefix="0" xfId="0">
      <alignment horizontal="general" vertical="center" shrinkToFit="1"/>
      <protection locked="0" hidden="0"/>
    </xf>
    <xf numFmtId="0" fontId="34" fillId="0" borderId="11" applyAlignment="1" applyProtection="1" pivotButton="0" quotePrefix="0" xfId="0">
      <alignment horizontal="center" vertical="center" wrapText="1"/>
      <protection locked="0" hidden="0"/>
    </xf>
    <xf numFmtId="4" fontId="33" fillId="0" borderId="12" applyAlignment="1" applyProtection="1" pivotButton="0" quotePrefix="0" xfId="0">
      <alignment horizontal="general" vertical="center" shrinkToFit="1"/>
      <protection locked="0" hidden="0"/>
    </xf>
    <xf numFmtId="0" fontId="34" fillId="0" borderId="0" applyAlignment="1" applyProtection="1" pivotButton="0" quotePrefix="0" xfId="0">
      <alignment horizontal="left" vertical="center" wrapText="1"/>
      <protection locked="0" hidden="0"/>
    </xf>
    <xf numFmtId="171" fontId="32" fillId="0" borderId="0" applyAlignment="1" applyProtection="1" pivotButton="0" quotePrefix="0" xfId="0">
      <alignment horizontal="left" vertical="top"/>
      <protection locked="0" hidden="0"/>
    </xf>
    <xf numFmtId="0" fontId="36" fillId="0" borderId="34"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36" fillId="0" borderId="42" applyAlignment="1" pivotButton="0" quotePrefix="0" xfId="0">
      <alignment horizontal="center" vertical="bottom"/>
    </xf>
    <xf numFmtId="0" fontId="0" fillId="0" borderId="43" applyAlignment="1" pivotButton="0" quotePrefix="0" xfId="0">
      <alignment horizontal="general" vertical="bottom"/>
    </xf>
    <xf numFmtId="0" fontId="0" fillId="0" borderId="0" applyAlignment="1" pivotButton="0" quotePrefix="0" xfId="0">
      <alignment horizontal="center" vertical="bottom"/>
    </xf>
    <xf numFmtId="0" fontId="0" fillId="0" borderId="31" applyAlignment="1" pivotButton="0" quotePrefix="0" xfId="0">
      <alignment horizontal="general" vertical="bottom"/>
    </xf>
    <xf numFmtId="0" fontId="0" fillId="0" borderId="9" applyAlignment="1" pivotButton="0" quotePrefix="0" xfId="0">
      <alignment horizontal="center" vertical="bottom"/>
    </xf>
    <xf numFmtId="0" fontId="0" fillId="0" borderId="27" applyAlignment="1" pivotButton="0" quotePrefix="0" xfId="0">
      <alignment horizontal="general" vertical="bottom"/>
    </xf>
    <xf numFmtId="0" fontId="37" fillId="8" borderId="4" applyAlignment="1" pivotButton="0" quotePrefix="0" xfId="0">
      <alignment horizontal="center" vertical="center" wrapText="1"/>
    </xf>
    <xf numFmtId="0" fontId="0" fillId="0" borderId="44" applyAlignment="1" pivotButton="0" quotePrefix="0" xfId="0">
      <alignment horizontal="center" vertical="bottom"/>
    </xf>
    <xf numFmtId="0" fontId="21" fillId="0" borderId="44" applyAlignment="1" pivotButton="0" quotePrefix="0" xfId="0">
      <alignment horizontal="center" vertical="bottom"/>
    </xf>
    <xf numFmtId="0" fontId="38" fillId="0" borderId="6" applyAlignment="1" pivotButton="0" quotePrefix="0" xfId="0">
      <alignment horizontal="general" vertical="bottom"/>
    </xf>
    <xf numFmtId="0" fontId="0" fillId="2" borderId="27"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29" fillId="5" borderId="4" applyAlignment="1" pivotButton="0" quotePrefix="0" xfId="0">
      <alignment horizontal="center" vertical="center"/>
    </xf>
    <xf numFmtId="1" fontId="29" fillId="5" borderId="4" applyAlignment="1" pivotButton="0" quotePrefix="0" xfId="0">
      <alignment horizontal="center" vertical="center"/>
    </xf>
    <xf numFmtId="1" fontId="29" fillId="5" borderId="47" applyAlignment="1" pivotButton="0" quotePrefix="0" xfId="0">
      <alignment horizontal="center" vertical="bottom"/>
    </xf>
    <xf numFmtId="0" fontId="29" fillId="5" borderId="21" applyAlignment="1" pivotButton="0" quotePrefix="0" xfId="0">
      <alignment horizontal="general" vertical="bottom"/>
    </xf>
    <xf numFmtId="0" fontId="36" fillId="0" borderId="42" applyAlignment="1" pivotButton="0" quotePrefix="0" xfId="0">
      <alignment horizontal="general" vertical="bottom"/>
    </xf>
    <xf numFmtId="0" fontId="36" fillId="0" borderId="43" applyAlignment="1" pivotButton="0" quotePrefix="0" xfId="0">
      <alignment horizontal="general" vertical="bottom"/>
    </xf>
    <xf numFmtId="0" fontId="36" fillId="0" borderId="48" applyAlignment="1" pivotButton="0" quotePrefix="0" xfId="0">
      <alignment horizontal="general" vertical="bottom"/>
    </xf>
    <xf numFmtId="0" fontId="29" fillId="5" borderId="30" applyAlignment="1" pivotButton="0" quotePrefix="0" xfId="0">
      <alignment horizontal="left" vertical="bottom" wrapText="1"/>
    </xf>
    <xf numFmtId="1" fontId="29" fillId="5" borderId="14" applyAlignment="1" pivotButton="0" quotePrefix="0" xfId="0">
      <alignment horizontal="center" vertical="bottom"/>
    </xf>
    <xf numFmtId="0" fontId="29"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27" applyAlignment="1" pivotButton="0" quotePrefix="0" xfId="0">
      <alignment horizontal="center" vertical="bottom"/>
    </xf>
    <xf numFmtId="9" fontId="29" fillId="8" borderId="8" applyAlignment="1" pivotButton="0" quotePrefix="0" xfId="0">
      <alignment horizontal="center" vertical="center" wrapText="1"/>
    </xf>
    <xf numFmtId="9" fontId="0" fillId="0" borderId="0" applyAlignment="1" pivotButton="0" quotePrefix="0" xfId="0">
      <alignment horizontal="center" vertical="center"/>
    </xf>
    <xf numFmtId="1" fontId="0" fillId="0" borderId="44" applyAlignment="1" pivotButton="0" quotePrefix="0" xfId="0">
      <alignment horizontal="center" vertical="center" wrapText="1"/>
    </xf>
    <xf numFmtId="0" fontId="29" fillId="7" borderId="24" applyAlignment="1" pivotButton="0" quotePrefix="0" xfId="0">
      <alignment horizontal="left" vertical="bottom" wrapText="1"/>
    </xf>
    <xf numFmtId="1" fontId="0" fillId="0" borderId="44" applyAlignment="1" pivotButton="0" quotePrefix="0" xfId="0">
      <alignment horizontal="center" vertical="bottom"/>
    </xf>
    <xf numFmtId="0" fontId="29" fillId="0" borderId="9" applyAlignment="1" pivotButton="0" quotePrefix="0" xfId="0">
      <alignment horizontal="left" vertical="center" wrapText="1"/>
    </xf>
    <xf numFmtId="9" fontId="29" fillId="8" borderId="8" applyAlignment="1" applyProtection="1" pivotButton="0" quotePrefix="0" xfId="0">
      <alignment horizontal="center" vertical="center" wrapText="1"/>
      <protection locked="0" hidden="0"/>
    </xf>
    <xf numFmtId="2" fontId="0" fillId="0" borderId="27" applyAlignment="1" pivotButton="0" quotePrefix="0" xfId="0">
      <alignment horizontal="left" vertical="bottom" wrapText="1"/>
    </xf>
    <xf numFmtId="2" fontId="0" fillId="0" borderId="27" applyAlignment="1" pivotButton="0" quotePrefix="0" xfId="0">
      <alignment horizontal="center" vertical="bottom" wrapText="1"/>
    </xf>
    <xf numFmtId="1" fontId="0" fillId="0" borderId="44" applyAlignment="1" pivotButton="0" quotePrefix="0" xfId="0">
      <alignment horizontal="general" vertical="bottom"/>
    </xf>
    <xf numFmtId="172" fontId="39" fillId="0" borderId="49"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0" applyAlignment="1" pivotButton="0" quotePrefix="0" xfId="0">
      <alignment horizontal="center" vertical="bottom"/>
    </xf>
    <xf numFmtId="0" fontId="40" fillId="9" borderId="51" applyAlignment="1" pivotButton="0" quotePrefix="0" xfId="0">
      <alignment horizontal="general" vertical="center"/>
    </xf>
    <xf numFmtId="0" fontId="40" fillId="9" borderId="52" applyAlignment="1" pivotButton="0" quotePrefix="0" xfId="0">
      <alignment horizontal="center" vertical="center"/>
    </xf>
    <xf numFmtId="2" fontId="29" fillId="9" borderId="4" applyAlignment="1" pivotButton="0" quotePrefix="0" xfId="0">
      <alignment horizontal="center" vertical="center"/>
    </xf>
    <xf numFmtId="0" fontId="29"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29" fillId="0" borderId="42" applyAlignment="1" pivotButton="0" quotePrefix="0" xfId="0">
      <alignment horizontal="center" vertical="center"/>
    </xf>
    <xf numFmtId="2" fontId="29" fillId="0" borderId="6" applyAlignment="1" pivotButton="0" quotePrefix="0" xfId="0">
      <alignment horizontal="center" vertical="center" wrapText="1"/>
    </xf>
    <xf numFmtId="169" fontId="41"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29"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29" fillId="0" borderId="28" applyAlignment="1" pivotButton="0" quotePrefix="0" xfId="0">
      <alignment horizontal="general" vertical="center"/>
    </xf>
    <xf numFmtId="2" fontId="29" fillId="0" borderId="0" applyAlignment="1" pivotButton="0" quotePrefix="0" xfId="0">
      <alignment horizontal="general" vertical="center"/>
    </xf>
    <xf numFmtId="0" fontId="42" fillId="0" borderId="0" applyAlignment="1" pivotButton="0" quotePrefix="0" xfId="0">
      <alignment horizontal="general" vertical="center"/>
    </xf>
    <xf numFmtId="0" fontId="43" fillId="0" borderId="0" applyAlignment="1" pivotButton="0" quotePrefix="0" xfId="0">
      <alignment horizontal="center" vertical="center"/>
    </xf>
    <xf numFmtId="0" fontId="43" fillId="0" borderId="0" applyAlignment="1" pivotButton="0" quotePrefix="0" xfId="0">
      <alignment horizontal="general" vertical="center"/>
    </xf>
    <xf numFmtId="0" fontId="42" fillId="0" borderId="6" applyAlignment="1" pivotButton="0" quotePrefix="0" xfId="0">
      <alignment horizontal="general" vertical="center"/>
    </xf>
    <xf numFmtId="0" fontId="44" fillId="0" borderId="6" applyAlignment="1" pivotButton="0" quotePrefix="0" xfId="0">
      <alignment horizontal="center" vertical="center"/>
    </xf>
    <xf numFmtId="0" fontId="43"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45" fillId="10" borderId="53" applyAlignment="1" pivotButton="0" quotePrefix="0" xfId="0">
      <alignment horizontal="left" vertical="center" indent="1"/>
    </xf>
    <xf numFmtId="166" fontId="30" fillId="0" borderId="54"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45" fillId="10" borderId="0" applyAlignment="1" pivotButton="0" quotePrefix="0" xfId="0">
      <alignment horizontal="left" vertical="center" indent="1"/>
    </xf>
    <xf numFmtId="0" fontId="30" fillId="0" borderId="55"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45" fillId="10" borderId="56" applyAlignment="1" pivotButton="0" quotePrefix="0" xfId="0">
      <alignment horizontal="left" vertical="center" indent="1"/>
    </xf>
    <xf numFmtId="0" fontId="30" fillId="0" borderId="57" applyAlignment="1" applyProtection="1" pivotButton="0" quotePrefix="0" xfId="0">
      <alignment horizontal="center" vertical="center"/>
      <protection locked="0" hidden="0"/>
    </xf>
    <xf numFmtId="0" fontId="46" fillId="0" borderId="0" applyAlignment="1" pivotButton="0" quotePrefix="0" xfId="0">
      <alignment horizontal="right" vertical="bottom"/>
    </xf>
    <xf numFmtId="0" fontId="47" fillId="10" borderId="58" applyAlignment="1" pivotButton="0" quotePrefix="0" xfId="0">
      <alignment horizontal="left" vertical="center" wrapText="1" indent="1"/>
    </xf>
    <xf numFmtId="0" fontId="45" fillId="6" borderId="59" applyAlignment="1" pivotButton="0" quotePrefix="0" xfId="0">
      <alignment horizontal="center" vertical="center"/>
    </xf>
    <xf numFmtId="0" fontId="45" fillId="11" borderId="59" applyAlignment="1" pivotButton="0" quotePrefix="0" xfId="0">
      <alignment horizontal="center" vertical="center"/>
    </xf>
    <xf numFmtId="0" fontId="48" fillId="12" borderId="59" applyAlignment="1" pivotButton="0" quotePrefix="0" xfId="0">
      <alignment horizontal="center" vertical="center"/>
    </xf>
    <xf numFmtId="0" fontId="48" fillId="13" borderId="59" applyAlignment="1" pivotButton="0" quotePrefix="0" xfId="0">
      <alignment horizontal="center" vertical="center"/>
    </xf>
    <xf numFmtId="0" fontId="48" fillId="14" borderId="59" applyAlignment="1" pivotButton="0" quotePrefix="0" xfId="0">
      <alignment horizontal="center" vertical="center"/>
    </xf>
    <xf numFmtId="0" fontId="45" fillId="15" borderId="60" applyAlignment="1" pivotButton="0" quotePrefix="0" xfId="0">
      <alignment horizontal="center" vertical="center"/>
    </xf>
    <xf numFmtId="0" fontId="49" fillId="0" borderId="61" applyAlignment="1" applyProtection="1" pivotButton="0" quotePrefix="0" xfId="0">
      <alignment horizontal="center" vertical="center"/>
      <protection locked="0" hidden="0"/>
    </xf>
    <xf numFmtId="0" fontId="49" fillId="0" borderId="62" applyAlignment="1" applyProtection="1" pivotButton="0" quotePrefix="0" xfId="0">
      <alignment horizontal="center" vertical="center"/>
      <protection locked="0" hidden="0"/>
    </xf>
    <xf numFmtId="0" fontId="50" fillId="8" borderId="63" applyAlignment="1" pivotButton="0" quotePrefix="0" xfId="0">
      <alignment horizontal="center" vertical="bottom"/>
    </xf>
    <xf numFmtId="0" fontId="50" fillId="8" borderId="64" applyAlignment="1" pivotButton="0" quotePrefix="0" xfId="0">
      <alignment horizontal="center" vertical="bottom"/>
    </xf>
    <xf numFmtId="0" fontId="51" fillId="8" borderId="65" applyAlignment="1" pivotButton="0" quotePrefix="0" xfId="0">
      <alignment horizontal="center" vertical="top" wrapText="1"/>
    </xf>
    <xf numFmtId="0" fontId="46" fillId="8" borderId="65" applyAlignment="1" pivotButton="0" quotePrefix="0" xfId="0">
      <alignment horizontal="center" vertical="top" wrapText="1"/>
    </xf>
    <xf numFmtId="0" fontId="46" fillId="8" borderId="66" applyAlignment="1" pivotButton="0" quotePrefix="0" xfId="0">
      <alignment horizontal="center" vertical="top" wrapText="1"/>
    </xf>
    <xf numFmtId="0" fontId="42" fillId="0" borderId="0" applyAlignment="1" pivotButton="0" quotePrefix="0" xfId="0">
      <alignment horizontal="left" vertical="center" indent="1"/>
    </xf>
    <xf numFmtId="0" fontId="43" fillId="0" borderId="0" applyAlignment="1" pivotButton="0" quotePrefix="0" xfId="0">
      <alignment horizontal="center" vertical="center" wrapText="1"/>
    </xf>
    <xf numFmtId="0" fontId="52" fillId="0" borderId="61" applyAlignment="1" applyProtection="1" pivotButton="0" quotePrefix="0" xfId="0">
      <alignment horizontal="center" vertical="center"/>
      <protection locked="0" hidden="0"/>
    </xf>
    <xf numFmtId="0" fontId="52" fillId="0" borderId="62"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47" fillId="10" borderId="67" applyAlignment="1" pivotButton="0" quotePrefix="0" xfId="0">
      <alignment horizontal="left" vertical="center" wrapText="1" indent="1"/>
    </xf>
    <xf numFmtId="0" fontId="53" fillId="10" borderId="68" applyAlignment="1" pivotButton="0" quotePrefix="0" xfId="0">
      <alignment horizontal="center" vertical="center"/>
    </xf>
    <xf numFmtId="0" fontId="53" fillId="10" borderId="69" applyAlignment="1" pivotButton="0" quotePrefix="0" xfId="0">
      <alignment horizontal="center" vertical="center"/>
    </xf>
    <xf numFmtId="0" fontId="30" fillId="0" borderId="66" applyAlignment="1" applyProtection="1" pivotButton="0" quotePrefix="0" xfId="0">
      <alignment horizontal="left" vertical="center" wrapText="1" indent="1"/>
      <protection locked="0" hidden="0"/>
    </xf>
    <xf numFmtId="0" fontId="35" fillId="0" borderId="0" applyAlignment="1" pivotButton="0" quotePrefix="0" xfId="0">
      <alignment horizontal="general" vertical="center"/>
    </xf>
    <xf numFmtId="0" fontId="54" fillId="0" borderId="0" applyAlignment="1" pivotButton="0" quotePrefix="0" xfId="0">
      <alignment horizontal="center" vertical="center"/>
    </xf>
    <xf numFmtId="0" fontId="54" fillId="0" borderId="0" applyAlignment="1" pivotButton="0" quotePrefix="0" xfId="0">
      <alignment horizontal="general" vertical="center"/>
    </xf>
    <xf numFmtId="0" fontId="55" fillId="0" borderId="0" applyAlignment="1" pivotButton="0" quotePrefix="0" xfId="0">
      <alignment horizontal="left" vertical="center" wrapText="1"/>
    </xf>
    <xf numFmtId="0" fontId="30" fillId="0" borderId="43" applyAlignment="1" pivotButton="0" quotePrefix="0" xfId="0">
      <alignment horizontal="left" vertical="center"/>
    </xf>
    <xf numFmtId="0" fontId="54" fillId="0" borderId="0" applyAlignment="1" applyProtection="1" pivotButton="0" quotePrefix="0" xfId="0">
      <alignment horizontal="general" vertical="center"/>
      <protection locked="0" hidden="0"/>
    </xf>
    <xf numFmtId="0" fontId="30" fillId="0" borderId="70" applyAlignment="1" pivotButton="0" quotePrefix="0" xfId="0">
      <alignment horizontal="left" vertical="center"/>
    </xf>
    <xf numFmtId="0" fontId="30" fillId="0" borderId="70" applyAlignment="1" pivotButton="0" quotePrefix="0" xfId="0">
      <alignment horizontal="center" vertical="center"/>
    </xf>
    <xf numFmtId="0" fontId="30" fillId="0" borderId="0" applyAlignment="1" pivotButton="0" quotePrefix="0" xfId="0">
      <alignment horizontal="center" vertical="center"/>
    </xf>
    <xf numFmtId="0" fontId="30" fillId="0" borderId="0" applyAlignment="1" pivotButton="0" quotePrefix="0" xfId="0">
      <alignment horizontal="general" vertical="center"/>
    </xf>
    <xf numFmtId="0" fontId="56" fillId="0" borderId="0" applyAlignment="1" pivotButton="0" quotePrefix="0" xfId="0">
      <alignment horizontal="general" vertical="center" wrapText="1"/>
    </xf>
    <xf numFmtId="0" fontId="57" fillId="0" borderId="0" applyAlignment="1" pivotButton="0" quotePrefix="0" xfId="0">
      <alignment horizontal="center" vertical="bottom" wrapText="1"/>
    </xf>
    <xf numFmtId="0" fontId="0" fillId="0" borderId="0" applyAlignment="1" applyProtection="1" pivotButton="0" quotePrefix="0" xfId="0">
      <alignment horizontal="general" vertical="bottom"/>
      <protection locked="1" hidden="1"/>
    </xf>
    <xf numFmtId="0" fontId="0" fillId="0" borderId="6" applyAlignment="1" applyProtection="1" pivotButton="0" quotePrefix="0" xfId="0">
      <alignment horizontal="center" vertical="center" textRotation="45"/>
      <protection locked="1" hidden="1"/>
    </xf>
    <xf numFmtId="0" fontId="58" fillId="0" borderId="27" applyAlignment="1" applyProtection="1" pivotButton="0" quotePrefix="0" xfId="0">
      <alignment horizontal="center" vertical="center"/>
      <protection locked="1" hidden="1"/>
    </xf>
    <xf numFmtId="0" fontId="58" fillId="0" borderId="6" applyAlignment="1" applyProtection="1" pivotButton="0" quotePrefix="0" xfId="0">
      <alignment horizontal="center" vertical="center"/>
      <protection locked="1" hidden="1"/>
    </xf>
    <xf numFmtId="0" fontId="59" fillId="0" borderId="6" applyAlignment="1" applyProtection="1" pivotButton="0" quotePrefix="0" xfId="0">
      <alignment horizontal="center" vertical="center"/>
      <protection locked="1" hidden="1"/>
    </xf>
    <xf numFmtId="0" fontId="60" fillId="0" borderId="6" applyAlignment="1" applyProtection="1" pivotButton="0" quotePrefix="0" xfId="0">
      <alignment horizontal="center" vertical="center"/>
      <protection locked="1" hidden="1"/>
    </xf>
    <xf numFmtId="0" fontId="61" fillId="0" borderId="6" applyAlignment="1" applyProtection="1" pivotButton="0" quotePrefix="0" xfId="0">
      <alignment horizontal="center" vertical="center"/>
      <protection locked="1" hidden="1"/>
    </xf>
    <xf numFmtId="168" fontId="61" fillId="0" borderId="6" applyAlignment="1" applyProtection="1" pivotButton="0" quotePrefix="0" xfId="0">
      <alignment horizontal="center" vertical="center"/>
      <protection locked="1" hidden="1"/>
    </xf>
    <xf numFmtId="0" fontId="29" fillId="5" borderId="6" applyAlignment="1" applyProtection="1" pivotButton="0" quotePrefix="0" xfId="0">
      <alignment horizontal="general" vertical="center"/>
      <protection locked="1" hidden="1"/>
    </xf>
    <xf numFmtId="0" fontId="49" fillId="2" borderId="6" applyAlignment="1" applyProtection="1" pivotButton="0" quotePrefix="0" xfId="0">
      <alignment horizontal="center" vertical="center"/>
      <protection locked="1" hidden="1"/>
    </xf>
    <xf numFmtId="0" fontId="22" fillId="5" borderId="6" applyAlignment="1" applyProtection="1" pivotButton="0" quotePrefix="0" xfId="0">
      <alignment horizontal="center" vertical="center"/>
      <protection locked="1" hidden="1"/>
    </xf>
    <xf numFmtId="0" fontId="50" fillId="2" borderId="27" applyAlignment="1" applyProtection="1" pivotButton="0" quotePrefix="0" xfId="0">
      <alignment horizontal="center" vertical="center"/>
      <protection locked="1" hidden="1"/>
    </xf>
    <xf numFmtId="0" fontId="50" fillId="2" borderId="44" applyAlignment="1" applyProtection="1" pivotButton="0" quotePrefix="0" xfId="0">
      <alignment horizontal="center" vertical="center"/>
      <protection locked="1" hidden="1"/>
    </xf>
    <xf numFmtId="0" fontId="62" fillId="2" borderId="27" applyAlignment="1" applyProtection="1" pivotButton="0" quotePrefix="0" xfId="0">
      <alignment horizontal="center" vertical="center"/>
      <protection locked="1" hidden="1"/>
    </xf>
    <xf numFmtId="166" fontId="62" fillId="2" borderId="71" applyAlignment="1" applyProtection="1" pivotButton="0" quotePrefix="0" xfId="0">
      <alignment horizontal="center" vertical="center"/>
      <protection locked="1" hidden="1"/>
    </xf>
    <xf numFmtId="0" fontId="62" fillId="2" borderId="71" applyAlignment="1" applyProtection="1" pivotButton="0" quotePrefix="0" xfId="0">
      <alignment horizontal="general" vertical="center"/>
      <protection locked="1" hidden="1"/>
    </xf>
    <xf numFmtId="166" fontId="62" fillId="2" borderId="44" applyAlignment="1" applyProtection="1" pivotButton="0" quotePrefix="0" xfId="0">
      <alignment horizontal="center" vertical="center"/>
      <protection locked="1" hidden="1"/>
    </xf>
    <xf numFmtId="0" fontId="34" fillId="2" borderId="6" applyAlignment="1" applyProtection="1" pivotButton="0" quotePrefix="0" xfId="0">
      <alignment horizontal="center" vertical="center"/>
      <protection locked="1" hidden="1"/>
    </xf>
    <xf numFmtId="173" fontId="63" fillId="2" borderId="6" applyAlignment="1" applyProtection="1" pivotButton="0" quotePrefix="0" xfId="0">
      <alignment horizontal="center" vertical="center"/>
      <protection locked="1" hidden="1"/>
    </xf>
    <xf numFmtId="0" fontId="39" fillId="2" borderId="6" applyAlignment="1" applyProtection="1" pivotButton="0" quotePrefix="0" xfId="0">
      <alignment horizontal="center" vertical="center" wrapText="1"/>
      <protection locked="1" hidden="1"/>
    </xf>
    <xf numFmtId="0" fontId="0" fillId="0" borderId="44" applyAlignment="1" pivotButton="0" quotePrefix="0" xfId="0">
      <alignment horizontal="general" vertical="bottom"/>
    </xf>
    <xf numFmtId="173" fontId="64" fillId="5" borderId="6" applyAlignment="1" applyProtection="1" pivotButton="0" quotePrefix="0" xfId="0">
      <alignment horizontal="center" vertical="center"/>
      <protection locked="1" hidden="1"/>
    </xf>
    <xf numFmtId="0" fontId="39" fillId="5" borderId="6" applyAlignment="1" applyProtection="1" pivotButton="0" quotePrefix="0" xfId="0">
      <alignment horizontal="center" vertical="center" wrapText="1"/>
      <protection locked="1" hidden="1"/>
    </xf>
    <xf numFmtId="49" fontId="29" fillId="0" borderId="0" applyAlignment="1" applyProtection="1" pivotButton="0" quotePrefix="0" xfId="0">
      <alignment horizontal="general" vertical="bottom"/>
      <protection locked="1" hidden="1"/>
    </xf>
    <xf numFmtId="0" fontId="29" fillId="5" borderId="6" applyAlignment="1" applyProtection="1" pivotButton="0" quotePrefix="0" xfId="0">
      <alignment horizontal="center" vertical="center"/>
      <protection locked="1" hidden="1"/>
    </xf>
    <xf numFmtId="173" fontId="65" fillId="8" borderId="6" applyAlignment="1" applyProtection="1" pivotButton="0" quotePrefix="0" xfId="0">
      <alignment horizontal="center" vertical="center" textRotation="90"/>
      <protection locked="1" hidden="1"/>
    </xf>
    <xf numFmtId="0" fontId="29" fillId="5" borderId="15" applyAlignment="1" applyProtection="1" pivotButton="0" quotePrefix="0" xfId="0">
      <alignment horizontal="center" vertical="center" wrapText="1"/>
      <protection locked="1" hidden="1"/>
    </xf>
    <xf numFmtId="0" fontId="0" fillId="0" borderId="0" applyAlignment="1" applyProtection="1" pivotButton="0" quotePrefix="0" xfId="0">
      <alignment horizontal="general" vertical="center"/>
      <protection locked="1" hidden="1"/>
    </xf>
    <xf numFmtId="0" fontId="40" fillId="0" borderId="6" applyAlignment="1" applyProtection="1" pivotButton="0" quotePrefix="0" xfId="0">
      <alignment horizontal="center" vertical="center"/>
      <protection locked="1" hidden="1"/>
    </xf>
    <xf numFmtId="0" fontId="29" fillId="0" borderId="6" applyAlignment="1" applyProtection="1" pivotButton="0" quotePrefix="0" xfId="0">
      <alignment horizontal="center" vertical="center"/>
      <protection locked="0" hidden="0"/>
    </xf>
    <xf numFmtId="0" fontId="22" fillId="0" borderId="6" applyAlignment="1" applyProtection="1" pivotButton="0" quotePrefix="0" xfId="0">
      <alignment horizontal="center" vertical="center"/>
      <protection locked="1" hidden="1"/>
    </xf>
    <xf numFmtId="0" fontId="66" fillId="0" borderId="6" applyAlignment="1" applyProtection="1" pivotButton="0" quotePrefix="0" xfId="0">
      <alignment horizontal="center" vertical="center"/>
      <protection locked="0" hidden="0"/>
    </xf>
    <xf numFmtId="0" fontId="29" fillId="5" borderId="6" applyAlignment="1" applyProtection="1" pivotButton="0" quotePrefix="0" xfId="0">
      <alignment horizontal="general" vertical="center"/>
      <protection locked="0" hidden="0"/>
    </xf>
    <xf numFmtId="0" fontId="40" fillId="5" borderId="6" applyAlignment="1" applyProtection="1" pivotButton="0" quotePrefix="0" xfId="0">
      <alignment horizontal="center" vertical="center"/>
      <protection locked="1" hidden="1"/>
    </xf>
    <xf numFmtId="49" fontId="22" fillId="0" borderId="6" applyAlignment="1" applyProtection="1" pivotButton="0" quotePrefix="0" xfId="0">
      <alignment horizontal="center" vertical="bottom"/>
      <protection locked="0" hidden="0"/>
    </xf>
    <xf numFmtId="0" fontId="29" fillId="0" borderId="15" applyAlignment="1" applyProtection="1" pivotButton="0" quotePrefix="0" xfId="0">
      <alignment horizontal="center" vertical="bottom"/>
      <protection locked="0" hidden="0"/>
    </xf>
    <xf numFmtId="0" fontId="29" fillId="0" borderId="6" applyAlignment="1" applyProtection="1" pivotButton="0" quotePrefix="0" xfId="0">
      <alignment horizontal="center" vertical="bottom"/>
      <protection locked="0" hidden="0"/>
    </xf>
    <xf numFmtId="49" fontId="0" fillId="0" borderId="6" applyAlignment="1" applyProtection="1" pivotButton="0" quotePrefix="0" xfId="0">
      <alignment horizontal="center" vertical="bottom"/>
      <protection locked="0" hidden="0"/>
    </xf>
    <xf numFmtId="0" fontId="40" fillId="2" borderId="6" applyAlignment="1" applyProtection="1" pivotButton="0" quotePrefix="0" xfId="0">
      <alignment horizontal="center" vertical="bottom"/>
      <protection locked="1" hidden="1"/>
    </xf>
    <xf numFmtId="0" fontId="0" fillId="2" borderId="6" applyAlignment="1" applyProtection="1" pivotButton="0" quotePrefix="0" xfId="0">
      <alignment horizontal="center" vertical="bottom"/>
      <protection locked="1" hidden="1"/>
    </xf>
    <xf numFmtId="0" fontId="29" fillId="0" borderId="6" applyAlignment="1" applyProtection="1" pivotButton="0" quotePrefix="0" xfId="0">
      <alignment horizontal="general" vertical="bottom"/>
      <protection locked="1" hidden="1"/>
    </xf>
    <xf numFmtId="0" fontId="29" fillId="0" borderId="6" applyAlignment="1" applyProtection="1" pivotButton="0" quotePrefix="0" xfId="0">
      <alignment horizontal="center" vertical="top" wrapText="1"/>
      <protection locked="1" hidden="1"/>
    </xf>
    <xf numFmtId="0" fontId="29" fillId="0" borderId="6" applyAlignment="1" applyProtection="1" pivotButton="0" quotePrefix="0" xfId="0">
      <alignment horizontal="center" vertical="bottom"/>
      <protection locked="1" hidden="1"/>
    </xf>
    <xf numFmtId="0" fontId="67" fillId="0" borderId="6" applyAlignment="1" applyProtection="1" pivotButton="0" quotePrefix="0" xfId="0">
      <alignment horizontal="left" vertical="top"/>
      <protection locked="1" hidden="1"/>
    </xf>
    <xf numFmtId="166" fontId="29" fillId="0" borderId="6" applyAlignment="1" applyProtection="1" pivotButton="0" quotePrefix="0" xfId="0">
      <alignment horizontal="center" vertical="top" wrapText="1"/>
      <protection locked="0" hidden="0"/>
    </xf>
    <xf numFmtId="174" fontId="0" fillId="0" borderId="0" applyAlignment="1" pivotButton="0" quotePrefix="0" xfId="0">
      <alignment horizontal="general" vertical="bottom"/>
    </xf>
    <xf numFmtId="0" fontId="68" fillId="0" borderId="4" applyAlignment="1" pivotButton="0" quotePrefix="0" xfId="0">
      <alignment horizontal="center" vertical="center" wrapText="1"/>
    </xf>
    <xf numFmtId="0" fontId="69" fillId="0" borderId="4" applyAlignment="1" pivotButton="0" quotePrefix="0" xfId="0">
      <alignment horizontal="center" vertical="center" wrapText="1"/>
    </xf>
    <xf numFmtId="0" fontId="70" fillId="0" borderId="4" applyAlignment="1" pivotButton="0" quotePrefix="0" xfId="0">
      <alignment horizontal="center" vertical="center" wrapText="1"/>
    </xf>
    <xf numFmtId="0" fontId="71" fillId="0" borderId="4" applyAlignment="1" pivotButton="0" quotePrefix="0" xfId="0">
      <alignment horizontal="center" vertical="center" wrapText="1"/>
    </xf>
    <xf numFmtId="0" fontId="72" fillId="0" borderId="4" applyAlignment="1" pivotButton="0" quotePrefix="0" xfId="0">
      <alignment horizontal="center" vertical="center" wrapText="1"/>
    </xf>
    <xf numFmtId="0" fontId="39"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39" fillId="0" borderId="4" applyAlignment="1" pivotButton="0" quotePrefix="0" xfId="0">
      <alignment horizontal="center" vertical="center"/>
    </xf>
    <xf numFmtId="0" fontId="73"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74"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75"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4"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39"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76"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77" fillId="0" borderId="0" applyAlignment="1" pivotButton="0" quotePrefix="0" xfId="0">
      <alignment horizontal="center" vertical="center"/>
    </xf>
    <xf numFmtId="0" fontId="77" fillId="0" borderId="0" applyAlignment="1" pivotButton="0" quotePrefix="0" xfId="0">
      <alignment horizontal="center" vertical="bottom"/>
    </xf>
    <xf numFmtId="0" fontId="78" fillId="0" borderId="0" applyAlignment="1" pivotButton="0" quotePrefix="0" xfId="0">
      <alignment horizontal="center" vertical="top" wrapText="1"/>
    </xf>
    <xf numFmtId="0" fontId="5" fillId="2" borderId="0" applyAlignment="1" pivotButton="0" quotePrefix="0" xfId="0">
      <alignment horizontal="general" vertical="bottom"/>
    </xf>
    <xf numFmtId="0" fontId="79" fillId="2" borderId="0" applyAlignment="1" pivotButton="0" quotePrefix="0" xfId="0">
      <alignment horizontal="general" vertical="bottom"/>
    </xf>
    <xf numFmtId="0" fontId="5" fillId="2" borderId="34" applyAlignment="1" pivotButton="0" quotePrefix="0" xfId="0">
      <alignment horizontal="general" vertical="bottom"/>
    </xf>
    <xf numFmtId="0" fontId="79" fillId="2" borderId="28" applyAlignment="1" pivotButton="0" quotePrefix="0" xfId="0">
      <alignment horizontal="general" vertical="bottom"/>
    </xf>
    <xf numFmtId="0" fontId="5" fillId="2" borderId="28" applyAlignment="1" pivotButton="0" quotePrefix="0" xfId="0">
      <alignment horizontal="general" vertical="bottom"/>
    </xf>
    <xf numFmtId="0" fontId="5" fillId="2" borderId="29" applyAlignment="1" pivotButton="0" quotePrefix="0" xfId="0">
      <alignment horizontal="general" vertical="bottom"/>
    </xf>
    <xf numFmtId="0" fontId="5" fillId="2" borderId="35" applyAlignment="1" pivotButton="0" quotePrefix="0" xfId="0">
      <alignment horizontal="general" vertical="bottom"/>
    </xf>
    <xf numFmtId="0" fontId="5" fillId="2" borderId="31" applyAlignment="1" pivotButton="0" quotePrefix="0" xfId="0">
      <alignment horizontal="general" vertical="bottom"/>
    </xf>
    <xf numFmtId="0" fontId="80" fillId="2" borderId="0" applyAlignment="1" pivotButton="0" quotePrefix="0" xfId="0">
      <alignment horizontal="center" vertical="center"/>
    </xf>
    <xf numFmtId="0" fontId="81" fillId="2" borderId="0" applyAlignment="1" pivotButton="0" quotePrefix="0" xfId="0">
      <alignment horizontal="center" vertical="center"/>
    </xf>
    <xf numFmtId="0" fontId="82" fillId="2" borderId="31" applyAlignment="1" pivotButton="0" quotePrefix="0" xfId="0">
      <alignment horizontal="general" vertical="center"/>
    </xf>
    <xf numFmtId="0" fontId="82" fillId="2" borderId="0" applyAlignment="1" pivotButton="0" quotePrefix="0" xfId="0">
      <alignment horizontal="general" vertical="center"/>
    </xf>
    <xf numFmtId="0" fontId="83" fillId="2" borderId="0" applyAlignment="1" pivotButton="0" quotePrefix="0" xfId="0">
      <alignment horizontal="center" vertical="center"/>
    </xf>
    <xf numFmtId="0" fontId="84" fillId="2" borderId="0" applyAlignment="1" pivotButton="0" quotePrefix="0" xfId="0">
      <alignment horizontal="general" vertical="bottom"/>
    </xf>
    <xf numFmtId="0" fontId="85" fillId="2" borderId="0" applyAlignment="1" pivotButton="0" quotePrefix="0" xfId="0">
      <alignment horizontal="general" vertical="bottom"/>
    </xf>
    <xf numFmtId="0" fontId="86" fillId="2" borderId="0" applyAlignment="1" pivotButton="0" quotePrefix="0" xfId="0">
      <alignment horizontal="general" vertical="bottom"/>
    </xf>
    <xf numFmtId="0" fontId="86" fillId="2" borderId="31" applyAlignment="1" pivotButton="0" quotePrefix="0" xfId="0">
      <alignment horizontal="general" vertical="bottom"/>
    </xf>
    <xf numFmtId="0" fontId="87" fillId="2" borderId="0" applyAlignment="1" pivotButton="0" quotePrefix="0" xfId="0">
      <alignment horizontal="right" vertical="center"/>
    </xf>
    <xf numFmtId="0" fontId="85" fillId="2" borderId="0" applyAlignment="1" pivotButton="0" quotePrefix="0" xfId="0">
      <alignment horizontal="general" vertical="center"/>
    </xf>
    <xf numFmtId="168" fontId="86" fillId="2" borderId="0" applyAlignment="1" pivotButton="0" quotePrefix="0" xfId="0">
      <alignment horizontal="left" vertical="center"/>
    </xf>
    <xf numFmtId="0" fontId="87" fillId="2" borderId="0" applyAlignment="1" pivotButton="0" quotePrefix="0" xfId="0">
      <alignment horizontal="general" vertical="bottom"/>
    </xf>
    <xf numFmtId="168" fontId="86" fillId="2" borderId="0" applyAlignment="1" pivotButton="0" quotePrefix="0" xfId="0">
      <alignment horizontal="left" vertical="center"/>
    </xf>
    <xf numFmtId="0" fontId="87" fillId="2" borderId="0" applyAlignment="1" pivotButton="0" quotePrefix="0" xfId="0">
      <alignment horizontal="right" vertical="top"/>
    </xf>
    <xf numFmtId="168" fontId="88" fillId="2" borderId="0" applyAlignment="1" pivotButton="0" quotePrefix="0" xfId="0">
      <alignment horizontal="left" vertical="top" wrapText="1"/>
    </xf>
    <xf numFmtId="0" fontId="86" fillId="2" borderId="0" applyAlignment="1" pivotButton="0" quotePrefix="0" xfId="0">
      <alignment horizontal="right" vertical="center"/>
    </xf>
    <xf numFmtId="0" fontId="89" fillId="2" borderId="0" applyAlignment="1" pivotButton="0" quotePrefix="0" xfId="0">
      <alignment horizontal="general" vertical="bottom"/>
    </xf>
    <xf numFmtId="0" fontId="90" fillId="2" borderId="0" applyAlignment="1" pivotButton="0" quotePrefix="0" xfId="0">
      <alignment horizontal="general" vertical="bottom"/>
    </xf>
    <xf numFmtId="0" fontId="91" fillId="2" borderId="0" applyAlignment="1" pivotButton="0" quotePrefix="0" xfId="0">
      <alignment horizontal="general" vertical="center"/>
    </xf>
    <xf numFmtId="0" fontId="91" fillId="2" borderId="0" applyAlignment="1" pivotButton="0" quotePrefix="0" xfId="0">
      <alignment horizontal="left" vertical="center"/>
    </xf>
    <xf numFmtId="0" fontId="91" fillId="2" borderId="0" applyAlignment="1" pivotButton="0" quotePrefix="0" xfId="0">
      <alignment horizontal="general" vertical="bottom"/>
    </xf>
    <xf numFmtId="0" fontId="92" fillId="0" borderId="4" applyAlignment="1" pivotButton="0" quotePrefix="0" xfId="0">
      <alignment horizontal="left" vertical="bottom" wrapText="1"/>
    </xf>
    <xf numFmtId="0" fontId="5" fillId="2" borderId="36" applyAlignment="1" pivotButton="0" quotePrefix="0" xfId="0">
      <alignment horizontal="general" vertical="bottom"/>
    </xf>
    <xf numFmtId="0" fontId="79" fillId="2" borderId="33" applyAlignment="1" pivotButton="0" quotePrefix="0" xfId="0">
      <alignment horizontal="general" vertical="bottom"/>
    </xf>
    <xf numFmtId="0" fontId="5" fillId="2" borderId="33" applyAlignment="1" pivotButton="0" quotePrefix="0" xfId="0">
      <alignment horizontal="general" vertical="bottom"/>
    </xf>
    <xf numFmtId="0" fontId="5" fillId="2" borderId="37" applyAlignment="1" pivotButton="0" quotePrefix="0" xfId="0">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49" fillId="3" borderId="0" applyAlignment="1" pivotButton="0" quotePrefix="0" xfId="0">
      <alignment horizontal="general" vertical="bottom"/>
    </xf>
    <xf numFmtId="0" fontId="30" fillId="3" borderId="0" applyAlignment="1" pivotButton="0" quotePrefix="0" xfId="0">
      <alignment horizontal="general" vertical="bottom"/>
    </xf>
    <xf numFmtId="0" fontId="0" fillId="3" borderId="0" applyAlignment="1" pivotButton="0" quotePrefix="0" xfId="0">
      <alignment horizontal="general" vertical="bottom"/>
    </xf>
    <xf numFmtId="168" fontId="49" fillId="3" borderId="0" applyAlignment="1" pivotButton="0" quotePrefix="0" xfId="0">
      <alignment horizontal="general" vertical="bottom"/>
    </xf>
    <xf numFmtId="0" fontId="35" fillId="3" borderId="0" applyAlignment="1" pivotButton="0" quotePrefix="0" xfId="0">
      <alignment horizontal="general" vertical="bottom"/>
    </xf>
    <xf numFmtId="0" fontId="93" fillId="3" borderId="0" applyAlignment="1" pivotButton="0" quotePrefix="0" xfId="0">
      <alignment horizontal="general" vertical="bottom"/>
    </xf>
    <xf numFmtId="0" fontId="94" fillId="3" borderId="0" applyAlignment="1" pivotButton="0" quotePrefix="0" xfId="0">
      <alignment horizontal="general" vertical="bottom"/>
    </xf>
    <xf numFmtId="0" fontId="95" fillId="3" borderId="0" applyAlignment="1" pivotButton="0" quotePrefix="0" xfId="0">
      <alignment horizontal="right" vertical="bottom"/>
    </xf>
    <xf numFmtId="0" fontId="95" fillId="3" borderId="0" applyAlignment="1" pivotButton="0" quotePrefix="0" xfId="0">
      <alignment horizontal="general" vertical="bottom"/>
    </xf>
    <xf numFmtId="0" fontId="95" fillId="3" borderId="0" applyAlignment="1" pivotButton="0" quotePrefix="0" xfId="0">
      <alignment horizontal="left" vertical="bottom"/>
    </xf>
    <xf numFmtId="0" fontId="96" fillId="3" borderId="0" applyAlignment="1" pivotButton="0" quotePrefix="0" xfId="0">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99" fillId="3" borderId="0" applyAlignment="1" pivotButton="0" quotePrefix="0" xfId="0">
      <alignment horizontal="general" vertical="bottom"/>
    </xf>
    <xf numFmtId="12" fontId="35" fillId="3" borderId="0" applyAlignment="1" pivotButton="0" quotePrefix="0" xfId="0">
      <alignment horizontal="center" vertical="bottom"/>
    </xf>
    <xf numFmtId="2" fontId="34" fillId="3" borderId="0" applyAlignment="1" pivotButton="0" quotePrefix="0" xfId="0">
      <alignment horizontal="center" vertical="bottom"/>
    </xf>
    <xf numFmtId="49" fontId="34" fillId="3" borderId="0" applyAlignment="1" pivotButton="0" quotePrefix="0" xfId="0">
      <alignment horizontal="center" vertical="bottom"/>
    </xf>
    <xf numFmtId="0" fontId="34" fillId="3" borderId="0" applyAlignment="1" pivotButton="0" quotePrefix="0" xfId="0">
      <alignment horizontal="center" vertical="bottom"/>
    </xf>
    <xf numFmtId="0" fontId="73" fillId="3" borderId="0" applyAlignment="1" pivotButton="0" quotePrefix="0" xfId="0">
      <alignment horizontal="left" vertical="bottom"/>
    </xf>
    <xf numFmtId="0" fontId="73" fillId="3" borderId="0" applyAlignment="1" pivotButton="0" quotePrefix="0" xfId="0">
      <alignment horizontal="general" vertical="bottom"/>
    </xf>
    <xf numFmtId="49" fontId="62" fillId="3" borderId="0" applyAlignment="1" pivotButton="0" quotePrefix="0" xfId="0">
      <alignment horizontal="left" vertical="bottom"/>
    </xf>
    <xf numFmtId="0" fontId="50" fillId="3" borderId="35" applyAlignment="1" pivotButton="0" quotePrefix="0" xfId="0">
      <alignment horizontal="general" vertical="bottom"/>
    </xf>
    <xf numFmtId="0" fontId="62" fillId="3" borderId="0" applyAlignment="1" pivotButton="0" quotePrefix="0" xfId="0">
      <alignment horizontal="left" vertical="bottom"/>
    </xf>
    <xf numFmtId="0" fontId="22" fillId="3" borderId="0" applyAlignment="1" pivotButton="0" quotePrefix="0" xfId="0">
      <alignment horizontal="general" vertical="bottom"/>
    </xf>
    <xf numFmtId="0" fontId="100" fillId="3" borderId="1" applyAlignment="1" pivotButton="0" quotePrefix="0" xfId="0">
      <alignment horizontal="left" vertical="bottom"/>
    </xf>
    <xf numFmtId="0" fontId="100" fillId="3" borderId="1" applyAlignment="1" pivotButton="0" quotePrefix="0" xfId="0">
      <alignment horizontal="center" vertical="bottom" wrapText="1"/>
    </xf>
    <xf numFmtId="0" fontId="101" fillId="3" borderId="28" applyAlignment="1" pivotButton="0" quotePrefix="0" xfId="0">
      <alignment horizontal="left" vertical="bottom"/>
    </xf>
    <xf numFmtId="0" fontId="101" fillId="3" borderId="0" applyAlignment="1" pivotButton="0" quotePrefix="0" xfId="0">
      <alignment horizontal="left" vertical="bottom" wrapText="1"/>
    </xf>
    <xf numFmtId="0" fontId="102" fillId="3" borderId="0" applyAlignment="1" pivotButton="0" quotePrefix="0" xfId="0">
      <alignment horizontal="general" vertical="bottom"/>
    </xf>
    <xf numFmtId="0" fontId="101" fillId="3" borderId="0" applyAlignment="1" pivotButton="0" quotePrefix="0" xfId="0">
      <alignment horizontal="general" vertical="bottom" wrapText="1"/>
    </xf>
    <xf numFmtId="0" fontId="101" fillId="3" borderId="0" applyAlignment="1" pivotButton="0" quotePrefix="0" xfId="0">
      <alignment horizontal="left" vertical="bottom"/>
    </xf>
    <xf numFmtId="0" fontId="103" fillId="3" borderId="0" applyAlignment="1" pivotButton="0" quotePrefix="0" xfId="0">
      <alignment horizontal="left" vertical="bottom"/>
    </xf>
    <xf numFmtId="0" fontId="103" fillId="4" borderId="0" applyAlignment="1" pivotButton="0" quotePrefix="0" xfId="0">
      <alignment horizontal="left" vertical="bottom"/>
    </xf>
    <xf numFmtId="1" fontId="104" fillId="4" borderId="0" applyAlignment="1" pivotButton="0" quotePrefix="0" xfId="0">
      <alignment horizontal="general" vertical="bottom"/>
    </xf>
    <xf numFmtId="0" fontId="104" fillId="4" borderId="0" applyAlignment="1" pivotButton="0" quotePrefix="0" xfId="0">
      <alignment horizontal="general" vertical="bottom"/>
    </xf>
    <xf numFmtId="0" fontId="105" fillId="4" borderId="0" applyAlignment="1" pivotButton="0" quotePrefix="0" xfId="0">
      <alignment horizontal="general" vertical="bottom"/>
    </xf>
    <xf numFmtId="0" fontId="93" fillId="4" borderId="0" applyAlignment="1" pivotButton="0" quotePrefix="0" xfId="0">
      <alignment horizontal="general" vertical="bottom"/>
    </xf>
    <xf numFmtId="0" fontId="0" fillId="4" borderId="0" applyAlignment="1" pivotButton="0" quotePrefix="0" xfId="0">
      <alignment horizontal="general" vertical="bottom"/>
    </xf>
    <xf numFmtId="0" fontId="106" fillId="4" borderId="0" applyAlignment="1" pivotButton="0" quotePrefix="0" xfId="0">
      <alignment horizontal="left" vertical="bottom"/>
    </xf>
    <xf numFmtId="1" fontId="107" fillId="4" borderId="0" applyAlignment="1" pivotButton="0" quotePrefix="0" xfId="0">
      <alignment horizontal="general" vertical="bottom"/>
    </xf>
    <xf numFmtId="0" fontId="107" fillId="4" borderId="0" applyAlignment="1" pivotButton="0" quotePrefix="0" xfId="0">
      <alignment horizontal="general" vertical="bottom"/>
    </xf>
    <xf numFmtId="0" fontId="106" fillId="4" borderId="6" applyAlignment="1" pivotButton="0" quotePrefix="0" xfId="0">
      <alignment horizontal="center" vertical="bottom"/>
    </xf>
    <xf numFmtId="0" fontId="106" fillId="4" borderId="0" applyAlignment="1" pivotButton="0" quotePrefix="0" xfId="0">
      <alignment horizontal="general" vertical="bottom"/>
    </xf>
    <xf numFmtId="0" fontId="108" fillId="4" borderId="0" applyAlignment="1" pivotButton="0" quotePrefix="0" xfId="0">
      <alignment horizontal="general" vertical="bottom"/>
    </xf>
    <xf numFmtId="0" fontId="103" fillId="4" borderId="0" applyAlignment="1" pivotButton="0" quotePrefix="0" xfId="0">
      <alignment horizontal="center" vertical="bottom"/>
    </xf>
    <xf numFmtId="0" fontId="103" fillId="4" borderId="0" applyAlignment="1" pivotButton="0" quotePrefix="0" xfId="0">
      <alignment horizontal="general" vertical="bottom"/>
    </xf>
    <xf numFmtId="1" fontId="103" fillId="4" borderId="6" applyAlignment="1" pivotButton="0" quotePrefix="0" xfId="0">
      <alignment horizontal="center" vertical="bottom"/>
    </xf>
    <xf numFmtId="49" fontId="103" fillId="4" borderId="6" applyAlignment="1" pivotButton="0" quotePrefix="0" xfId="0">
      <alignment horizontal="center" vertical="bottom"/>
    </xf>
    <xf numFmtId="175" fontId="109" fillId="4" borderId="0" applyAlignment="1" pivotButton="0" quotePrefix="0" xfId="0">
      <alignment horizontal="right" vertical="center"/>
    </xf>
    <xf numFmtId="0" fontId="110" fillId="4" borderId="0" applyAlignment="1" pivotButton="0" quotePrefix="0" xfId="0">
      <alignment horizontal="center" vertical="bottom"/>
    </xf>
    <xf numFmtId="1" fontId="103" fillId="4" borderId="0" applyAlignment="1" pivotButton="0" quotePrefix="0" xfId="0">
      <alignment horizontal="center" vertical="bottom"/>
    </xf>
    <xf numFmtId="49" fontId="103" fillId="4" borderId="0" applyAlignment="1" pivotButton="0" quotePrefix="0" xfId="0">
      <alignment horizontal="center" vertical="bottom"/>
    </xf>
    <xf numFmtId="175" fontId="109" fillId="4" borderId="0" applyAlignment="1" pivotButton="0" quotePrefix="0" xfId="0">
      <alignment horizontal="right" vertical="bottom"/>
    </xf>
    <xf numFmtId="0" fontId="103" fillId="4" borderId="34" applyAlignment="1" pivotButton="0" quotePrefix="0" xfId="0">
      <alignment horizontal="center" vertical="bottom"/>
    </xf>
    <xf numFmtId="0" fontId="111" fillId="4" borderId="4" applyAlignment="1" pivotButton="0" quotePrefix="0" xfId="0">
      <alignment horizontal="center" vertical="bottom" wrapText="1"/>
    </xf>
    <xf numFmtId="0" fontId="103" fillId="4" borderId="6" applyAlignment="1" pivotButton="0" quotePrefix="0" xfId="0">
      <alignment horizontal="center" vertical="bottom"/>
    </xf>
    <xf numFmtId="0" fontId="103" fillId="4" borderId="0" applyAlignment="1" pivotButton="0" quotePrefix="0" xfId="0">
      <alignment horizontal="center" vertical="bottom"/>
    </xf>
    <xf numFmtId="0" fontId="111" fillId="4" borderId="35" applyAlignment="1" pivotButton="0" quotePrefix="0" xfId="0">
      <alignment horizontal="general" vertical="bottom"/>
    </xf>
    <xf numFmtId="0" fontId="111" fillId="4" borderId="36" applyAlignment="1" pivotButton="0" quotePrefix="0" xfId="0">
      <alignment horizontal="general" vertical="bottom"/>
    </xf>
    <xf numFmtId="0" fontId="111" fillId="4" borderId="0" applyAlignment="1" pivotButton="0" quotePrefix="0" xfId="0">
      <alignment horizontal="left" vertical="bottom"/>
    </xf>
    <xf numFmtId="0" fontId="112" fillId="4" borderId="0" applyAlignment="1" pivotButton="0" quotePrefix="0" xfId="0">
      <alignment horizontal="general" vertical="center" wrapText="1"/>
    </xf>
    <xf numFmtId="1" fontId="21" fillId="4" borderId="0" applyAlignment="1" pivotButton="0" quotePrefix="0" xfId="0">
      <alignment horizontal="general" vertical="bottom"/>
    </xf>
    <xf numFmtId="0" fontId="103" fillId="4" borderId="31" applyAlignment="1" pivotButton="0" quotePrefix="0" xfId="0">
      <alignment horizontal="center" vertical="bottom" wrapText="1"/>
    </xf>
    <xf numFmtId="0" fontId="103" fillId="4" borderId="0" applyAlignment="1" pivotButton="0" quotePrefix="0" xfId="0">
      <alignment horizontal="general" vertical="bottom" wrapText="1"/>
    </xf>
    <xf numFmtId="0" fontId="105" fillId="4" borderId="0" applyAlignment="1" pivotButton="0" quotePrefix="0" xfId="0">
      <alignment horizontal="general" vertical="center"/>
    </xf>
    <xf numFmtId="0" fontId="112" fillId="4" borderId="0" applyAlignment="1" pivotButton="0" quotePrefix="0" xfId="0">
      <alignment horizontal="general" vertical="bottom"/>
    </xf>
    <xf numFmtId="0" fontId="112" fillId="4" borderId="0" applyAlignment="1" pivotButton="0" quotePrefix="0" xfId="0">
      <alignment horizontal="left" vertical="center" wrapText="1"/>
    </xf>
    <xf numFmtId="0" fontId="112" fillId="4" borderId="0" applyAlignment="1" pivotButton="0" quotePrefix="0" xfId="0">
      <alignment horizontal="left" vertical="bottom"/>
    </xf>
    <xf numFmtId="0" fontId="111" fillId="4" borderId="0" applyAlignment="1" pivotButton="0" quotePrefix="0" xfId="0">
      <alignment horizontal="left" vertical="center"/>
    </xf>
    <xf numFmtId="0" fontId="111" fillId="4" borderId="0" applyAlignment="1" pivotButton="0" quotePrefix="0" xfId="0">
      <alignment horizontal="general" vertical="center"/>
    </xf>
    <xf numFmtId="0" fontId="112" fillId="4" borderId="0" applyAlignment="1" pivotButton="0" quotePrefix="0" xfId="0">
      <alignment horizontal="left" vertical="center"/>
    </xf>
    <xf numFmtId="0" fontId="103" fillId="4" borderId="0" applyAlignment="1" pivotButton="0" quotePrefix="0" xfId="0">
      <alignment horizontal="general" vertical="center"/>
    </xf>
    <xf numFmtId="0" fontId="29" fillId="4" borderId="0" applyAlignment="1" pivotButton="0" quotePrefix="0" xfId="0">
      <alignment horizontal="general" vertical="center"/>
    </xf>
    <xf numFmtId="0" fontId="103" fillId="4" borderId="6" applyAlignment="1" pivotButton="0" quotePrefix="0" xfId="0">
      <alignment horizontal="center" vertical="center" shrinkToFit="1"/>
    </xf>
    <xf numFmtId="0" fontId="103" fillId="4" borderId="0" applyAlignment="1" pivotButton="0" quotePrefix="0" xfId="0">
      <alignment horizontal="left" vertical="bottom" wrapText="1"/>
    </xf>
    <xf numFmtId="0" fontId="103" fillId="4" borderId="0" applyAlignment="1" pivotButton="0" quotePrefix="0" xfId="0">
      <alignment horizontal="left" vertical="center"/>
    </xf>
    <xf numFmtId="1" fontId="103" fillId="4" borderId="0" applyAlignment="1" pivotButton="0" quotePrefix="0" xfId="0">
      <alignment horizontal="general" vertical="center"/>
    </xf>
    <xf numFmtId="0" fontId="112" fillId="4" borderId="0" applyAlignment="1" pivotButton="0" quotePrefix="0" xfId="0">
      <alignment horizontal="left" vertical="center"/>
    </xf>
    <xf numFmtId="0" fontId="113" fillId="4" borderId="0" applyAlignment="1" pivotButton="0" quotePrefix="0" xfId="0">
      <alignment horizontal="general" vertical="center"/>
    </xf>
    <xf numFmtId="0" fontId="34" fillId="4" borderId="0" applyAlignment="1" pivotButton="0" quotePrefix="0" xfId="0">
      <alignment horizontal="general" vertical="center"/>
    </xf>
    <xf numFmtId="1" fontId="104" fillId="4" borderId="0" applyAlignment="1" pivotButton="0" quotePrefix="0" xfId="0">
      <alignment horizontal="general" vertical="center"/>
    </xf>
    <xf numFmtId="0" fontId="104" fillId="4" borderId="0" applyAlignment="1" pivotButton="0" quotePrefix="0" xfId="0">
      <alignment horizontal="general" vertical="center"/>
    </xf>
    <xf numFmtId="1" fontId="103" fillId="4" borderId="6" applyAlignment="1" pivotButton="0" quotePrefix="0" xfId="0">
      <alignment horizontal="center" vertical="center"/>
    </xf>
    <xf numFmtId="0" fontId="0" fillId="4" borderId="0" applyAlignment="1" pivotButton="0" quotePrefix="0" xfId="0">
      <alignment horizontal="general" vertical="center"/>
    </xf>
    <xf numFmtId="0" fontId="103" fillId="4" borderId="0" applyAlignment="1" pivotButton="0" quotePrefix="0" xfId="0">
      <alignment horizontal="left" vertical="center" wrapText="1"/>
    </xf>
    <xf numFmtId="1" fontId="103" fillId="4" borderId="0" applyAlignment="1" pivotButton="0" quotePrefix="0" xfId="0">
      <alignment horizontal="center" vertical="center"/>
    </xf>
    <xf numFmtId="175" fontId="103" fillId="4" borderId="0" applyAlignment="1" pivotButton="0" quotePrefix="0" xfId="0">
      <alignment horizontal="right" vertical="center"/>
    </xf>
    <xf numFmtId="0" fontId="103" fillId="4" borderId="0" applyAlignment="1" pivotButton="0" quotePrefix="0" xfId="0">
      <alignment horizontal="center" vertical="bottom" wrapText="1"/>
    </xf>
    <xf numFmtId="0" fontId="103" fillId="4" borderId="35" applyAlignment="1" pivotButton="0" quotePrefix="0" xfId="0">
      <alignment horizontal="left" vertical="center"/>
    </xf>
    <xf numFmtId="0" fontId="103" fillId="4" borderId="6" applyAlignment="1" pivotButton="0" quotePrefix="0" xfId="0">
      <alignment horizontal="center" vertical="center"/>
    </xf>
    <xf numFmtId="0" fontId="103" fillId="2" borderId="35" applyAlignment="1" pivotButton="0" quotePrefix="0" xfId="0">
      <alignment horizontal="left" vertical="center"/>
    </xf>
    <xf numFmtId="0" fontId="104" fillId="2" borderId="0" applyAlignment="1" pivotButton="0" quotePrefix="0" xfId="0">
      <alignment horizontal="general" vertical="center"/>
    </xf>
    <xf numFmtId="0" fontId="114" fillId="2" borderId="0" applyAlignment="1" pivotButton="0" quotePrefix="0" xfId="0">
      <alignment horizontal="center" vertical="center"/>
    </xf>
    <xf numFmtId="0" fontId="103" fillId="0" borderId="35" applyAlignment="1" pivotButton="0" quotePrefix="0" xfId="0">
      <alignment horizontal="left" vertical="center"/>
    </xf>
    <xf numFmtId="0" fontId="104" fillId="0" borderId="0" applyAlignment="1" pivotButton="0" quotePrefix="0" xfId="0">
      <alignment horizontal="general" vertical="center"/>
    </xf>
    <xf numFmtId="0" fontId="103" fillId="0" borderId="0" applyAlignment="1" pivotButton="0" quotePrefix="0" xfId="0">
      <alignment horizontal="left" vertical="center" wrapText="1"/>
    </xf>
    <xf numFmtId="0" fontId="111" fillId="0" borderId="0" applyAlignment="1" pivotButton="0" quotePrefix="0" xfId="0">
      <alignment horizontal="left" vertical="center"/>
    </xf>
    <xf numFmtId="0" fontId="103" fillId="0" borderId="0" applyAlignment="1" pivotButton="0" quotePrefix="0" xfId="0">
      <alignment horizontal="general" vertical="center"/>
    </xf>
    <xf numFmtId="0" fontId="103" fillId="0" borderId="0" applyAlignment="1" pivotButton="0" quotePrefix="0" xfId="0">
      <alignment horizontal="left" vertical="center"/>
    </xf>
    <xf numFmtId="0" fontId="29" fillId="0" borderId="0" applyAlignment="1" pivotButton="0" quotePrefix="0" xfId="0">
      <alignment horizontal="general" vertical="center"/>
    </xf>
    <xf numFmtId="0" fontId="103" fillId="0" borderId="0" applyAlignment="1" pivotButton="0" quotePrefix="0" xfId="0">
      <alignment horizontal="general" vertical="bottom"/>
    </xf>
    <xf numFmtId="0" fontId="103" fillId="0" borderId="0" applyAlignment="1" pivotButton="0" quotePrefix="0" xfId="0">
      <alignment horizontal="left" vertical="bottom"/>
    </xf>
    <xf numFmtId="0" fontId="29" fillId="0" borderId="0" applyAlignment="1" pivotButton="0" quotePrefix="0" xfId="0">
      <alignment horizontal="general" vertical="bottom"/>
    </xf>
    <xf numFmtId="0" fontId="111" fillId="0" borderId="0" applyAlignment="1" pivotButton="0" quotePrefix="0" xfId="0">
      <alignment horizontal="left" vertical="bottom"/>
    </xf>
    <xf numFmtId="0" fontId="103" fillId="2" borderId="0" applyAlignment="1" pivotButton="0" quotePrefix="0" xfId="0">
      <alignment horizontal="general" vertical="bottom"/>
    </xf>
    <xf numFmtId="0" fontId="104" fillId="0" borderId="0" applyAlignment="1" pivotButton="0" quotePrefix="0" xfId="0">
      <alignment horizontal="general" vertical="bottom"/>
    </xf>
    <xf numFmtId="0" fontId="104" fillId="0" borderId="0" applyAlignment="1" pivotButton="0" quotePrefix="0" xfId="0">
      <alignment horizontal="left" vertical="bottom"/>
    </xf>
    <xf numFmtId="0" fontId="115" fillId="0" borderId="0" applyAlignment="1" pivotButton="0" quotePrefix="0" xfId="0">
      <alignment horizontal="general" vertical="center"/>
    </xf>
    <xf numFmtId="0" fontId="105" fillId="0" borderId="0" applyAlignment="1" pivotButton="0" quotePrefix="0" xfId="0">
      <alignment horizontal="general" vertical="center"/>
    </xf>
    <xf numFmtId="0" fontId="111" fillId="0" borderId="0" applyAlignment="1" pivotButton="0" quotePrefix="0" xfId="0">
      <alignment horizontal="general" vertical="center"/>
    </xf>
    <xf numFmtId="0" fontId="111" fillId="0" borderId="0" applyAlignment="1" pivotButton="0" quotePrefix="0" xfId="0">
      <alignment horizontal="left" vertical="center" wrapText="1"/>
    </xf>
    <xf numFmtId="0" fontId="104" fillId="2" borderId="0" applyAlignment="1" pivotButton="0" quotePrefix="0" xfId="0">
      <alignment horizontal="left" vertical="bottom"/>
    </xf>
    <xf numFmtId="0" fontId="104" fillId="2" borderId="0" applyAlignment="1" pivotButton="0" quotePrefix="0" xfId="0">
      <alignment horizontal="general" vertical="bottom"/>
    </xf>
    <xf numFmtId="0" fontId="35" fillId="0" borderId="0" applyAlignment="1" pivotButton="0" quotePrefix="0" xfId="0">
      <alignment horizontal="general" vertical="bottom"/>
    </xf>
    <xf numFmtId="0" fontId="103" fillId="2" borderId="0" applyAlignment="1" pivotButton="0" quotePrefix="0" xfId="0">
      <alignment horizontal="left" vertical="bottom"/>
    </xf>
    <xf numFmtId="0" fontId="35" fillId="2" borderId="0" applyAlignment="1" pivotButton="0" quotePrefix="0" xfId="0">
      <alignment horizontal="left" vertical="bottom"/>
    </xf>
    <xf numFmtId="0" fontId="35" fillId="2" borderId="0" applyAlignment="1" pivotButton="0" quotePrefix="0" xfId="0">
      <alignment horizontal="general" vertical="bottom"/>
    </xf>
    <xf numFmtId="0" fontId="116" fillId="2" borderId="0" applyAlignment="1" pivotButton="0" quotePrefix="0" xfId="0">
      <alignment horizontal="general" vertical="center"/>
    </xf>
    <xf numFmtId="0" fontId="5" fillId="0" borderId="6" applyAlignment="1" pivotButton="0" quotePrefix="0" xfId="0">
      <alignment horizontal="left" vertical="bottom"/>
    </xf>
    <xf numFmtId="0" fontId="5" fillId="4" borderId="6" applyAlignment="1" pivotButton="0" quotePrefix="0" xfId="0">
      <alignment horizontal="left" vertical="bottom"/>
    </xf>
    <xf numFmtId="0" fontId="5" fillId="0" borderId="0" applyAlignment="1" pivotButton="0" quotePrefix="0" xfId="0">
      <alignment horizontal="general" vertical="bottom"/>
    </xf>
    <xf numFmtId="0" fontId="117" fillId="0" borderId="6" applyAlignment="1" pivotButton="0" quotePrefix="0" xfId="0">
      <alignment horizontal="left" vertical="center" wrapText="1"/>
    </xf>
    <xf numFmtId="0" fontId="118" fillId="4" borderId="6" applyAlignment="1" pivotButton="0" quotePrefix="0" xfId="0">
      <alignment horizontal="left" vertical="center" wrapText="1"/>
    </xf>
    <xf numFmtId="0" fontId="118" fillId="0" borderId="7" applyAlignment="1" pivotButton="0" quotePrefix="0" xfId="0">
      <alignment horizontal="center" vertical="center" wrapText="1"/>
    </xf>
    <xf numFmtId="0" fontId="117" fillId="0" borderId="21" applyAlignment="1" pivotButton="0" quotePrefix="0" xfId="0">
      <alignment horizontal="general" vertical="center" wrapText="1"/>
    </xf>
    <xf numFmtId="2" fontId="119" fillId="0" borderId="0" applyAlignment="1" applyProtection="1" pivotButton="0" quotePrefix="0" xfId="0">
      <alignment horizontal="general" vertical="bottom"/>
      <protection locked="0" hidden="0"/>
    </xf>
    <xf numFmtId="0" fontId="118" fillId="0" borderId="6" applyAlignment="1" pivotButton="0" quotePrefix="0" xfId="0">
      <alignment horizontal="left" vertical="center" wrapText="1"/>
    </xf>
    <xf numFmtId="0" fontId="118" fillId="0" borderId="44" applyAlignment="1" pivotButton="0" quotePrefix="0" xfId="0">
      <alignment horizontal="center" vertical="center" wrapText="1"/>
    </xf>
    <xf numFmtId="0" fontId="118" fillId="0" borderId="6" applyAlignment="1" pivotButton="0" quotePrefix="0" xfId="0">
      <alignment horizontal="center" vertical="center" wrapText="1"/>
    </xf>
    <xf numFmtId="0" fontId="118" fillId="0" borderId="8" applyAlignment="1" pivotButton="0" quotePrefix="0" xfId="0">
      <alignment horizontal="center" vertical="center" wrapText="1"/>
    </xf>
    <xf numFmtId="0" fontId="120" fillId="0" borderId="6" applyAlignment="1" pivotButton="0" quotePrefix="0" xfId="0">
      <alignment horizontal="left" vertical="center" wrapText="1"/>
    </xf>
    <xf numFmtId="0" fontId="117" fillId="0" borderId="44" applyAlignment="1" pivotButton="0" quotePrefix="0" xfId="0">
      <alignment horizontal="center" vertical="center" wrapText="1"/>
    </xf>
    <xf numFmtId="0" fontId="117" fillId="0" borderId="6" applyAlignment="1" pivotButton="0" quotePrefix="0" xfId="0">
      <alignment horizontal="center" vertical="center" wrapText="1"/>
    </xf>
    <xf numFmtId="169" fontId="117" fillId="0" borderId="6" applyAlignment="1" pivotButton="0" quotePrefix="0" xfId="0">
      <alignment horizontal="center" vertical="center" wrapText="1"/>
    </xf>
    <xf numFmtId="0" fontId="117" fillId="0" borderId="8" applyAlignment="1" pivotButton="0" quotePrefix="0" xfId="0">
      <alignment horizontal="center" vertical="center" wrapText="1"/>
    </xf>
    <xf numFmtId="176" fontId="117" fillId="0" borderId="0" applyAlignment="1" pivotButton="0" quotePrefix="0" xfId="0">
      <alignment horizontal="general" vertical="bottom"/>
    </xf>
    <xf numFmtId="0" fontId="121" fillId="0" borderId="72" applyAlignment="1" pivotButton="0" quotePrefix="0" xfId="0">
      <alignment horizontal="center" vertical="bottom"/>
    </xf>
    <xf numFmtId="2" fontId="119" fillId="0" borderId="0" applyAlignment="1" pivotButton="0" quotePrefix="0" xfId="0">
      <alignment horizontal="general" vertical="bottom"/>
    </xf>
    <xf numFmtId="2" fontId="5" fillId="0" borderId="0" applyAlignment="1" pivotButton="0" quotePrefix="0" xfId="0">
      <alignment horizontal="general" vertical="bottom"/>
    </xf>
    <xf numFmtId="0" fontId="122" fillId="16" borderId="6" applyAlignment="1" pivotButton="0" quotePrefix="0" xfId="0">
      <alignment horizontal="left" vertical="center" wrapText="1"/>
    </xf>
    <xf numFmtId="0" fontId="117" fillId="17" borderId="6" applyAlignment="1" applyProtection="1" pivotButton="0" quotePrefix="0" xfId="0">
      <alignment horizontal="left" vertical="center"/>
      <protection locked="0" hidden="0"/>
    </xf>
    <xf numFmtId="169" fontId="117" fillId="0" borderId="47" applyAlignment="1" applyProtection="1" pivotButton="0" quotePrefix="0" xfId="0">
      <alignment horizontal="center" vertical="center"/>
      <protection locked="0" hidden="0"/>
    </xf>
    <xf numFmtId="0" fontId="122" fillId="16" borderId="7" applyAlignment="1" pivotButton="0" quotePrefix="0" xfId="0">
      <alignment horizontal="left" vertical="center" wrapText="1"/>
    </xf>
    <xf numFmtId="0" fontId="85" fillId="0" borderId="7" applyAlignment="1" applyProtection="1" pivotButton="0" quotePrefix="0" xfId="0">
      <alignment horizontal="left" vertical="center" wrapText="1"/>
      <protection locked="0" hidden="0"/>
    </xf>
    <xf numFmtId="0" fontId="86" fillId="2" borderId="6" applyAlignment="1" applyProtection="1" pivotButton="0" quotePrefix="0" xfId="0">
      <alignment horizontal="center" vertical="center" wrapText="1"/>
      <protection locked="0" hidden="0"/>
    </xf>
    <xf numFmtId="0" fontId="117" fillId="0" borderId="44" applyAlignment="1" applyProtection="1" pivotButton="0" quotePrefix="0" xfId="0">
      <alignment horizontal="center" vertical="center"/>
      <protection locked="0" hidden="0"/>
    </xf>
    <xf numFmtId="0" fontId="117" fillId="0" borderId="6" applyAlignment="1" applyProtection="1" pivotButton="0" quotePrefix="0" xfId="0">
      <alignment horizontal="center" vertical="center"/>
      <protection locked="0" hidden="0"/>
    </xf>
    <xf numFmtId="0" fontId="122" fillId="16" borderId="20" applyAlignment="1" pivotButton="0" quotePrefix="0" xfId="0">
      <alignment horizontal="general" vertical="center" wrapText="1"/>
    </xf>
    <xf numFmtId="0" fontId="86" fillId="0" borderId="6" applyAlignment="1" pivotButton="0" quotePrefix="0" xfId="0">
      <alignment horizontal="general" vertical="center"/>
    </xf>
    <xf numFmtId="0" fontId="123" fillId="0" borderId="0" applyAlignment="1" pivotButton="0" quotePrefix="0" xfId="0">
      <alignment horizontal="general" vertical="bottom"/>
    </xf>
    <xf numFmtId="0" fontId="117" fillId="0" borderId="16" applyAlignment="1" applyProtection="1" pivotButton="0" quotePrefix="0" xfId="0">
      <alignment horizontal="center" vertical="center"/>
      <protection locked="0" hidden="0"/>
    </xf>
    <xf numFmtId="0" fontId="122" fillId="16" borderId="11" applyAlignment="1" pivotButton="0" quotePrefix="0" xfId="0">
      <alignment horizontal="left" vertical="center" wrapText="1"/>
    </xf>
    <xf numFmtId="0" fontId="117" fillId="0" borderId="11" applyAlignment="1" applyProtection="1" pivotButton="0" quotePrefix="0" xfId="0">
      <alignment horizontal="center" vertical="center"/>
      <protection locked="0" hidden="0"/>
    </xf>
    <xf numFmtId="0" fontId="122" fillId="16" borderId="11" applyAlignment="1" pivotButton="0" quotePrefix="0" xfId="0">
      <alignment horizontal="general" vertical="center" wrapText="1"/>
    </xf>
    <xf numFmtId="0" fontId="118" fillId="0" borderId="41" applyAlignment="1" applyProtection="1" pivotButton="0" quotePrefix="0" xfId="0">
      <alignment horizontal="center" vertical="center"/>
      <protection locked="0" hidden="0"/>
    </xf>
    <xf numFmtId="0" fontId="124" fillId="0" borderId="0" applyAlignment="1" pivotButton="0" quotePrefix="0" xfId="0">
      <alignment horizontal="general" vertical="bottom"/>
    </xf>
    <xf numFmtId="0" fontId="122" fillId="18" borderId="6" applyAlignment="1" pivotButton="0" quotePrefix="0" xfId="0">
      <alignment horizontal="left" vertical="center" wrapText="1"/>
    </xf>
    <xf numFmtId="2" fontId="118" fillId="17" borderId="6" applyAlignment="1" pivotButton="0" quotePrefix="0" xfId="0">
      <alignment horizontal="left" vertical="center"/>
    </xf>
    <xf numFmtId="0" fontId="122" fillId="2" borderId="6" applyAlignment="1" pivotButton="0" quotePrefix="0" xfId="0">
      <alignment horizontal="left" vertical="center" wrapText="1"/>
    </xf>
    <xf numFmtId="0" fontId="117" fillId="2" borderId="28" applyAlignment="1" pivotButton="0" quotePrefix="0" xfId="0">
      <alignment horizontal="general" vertical="bottom"/>
    </xf>
    <xf numFmtId="0" fontId="122" fillId="2" borderId="28" applyAlignment="1" pivotButton="0" quotePrefix="0" xfId="0">
      <alignment horizontal="left" vertical="center" wrapText="1"/>
    </xf>
    <xf numFmtId="0" fontId="122" fillId="0" borderId="0" applyAlignment="1" pivotButton="0" quotePrefix="0" xfId="0">
      <alignment horizontal="left" vertical="center" wrapText="1"/>
    </xf>
    <xf numFmtId="0" fontId="88" fillId="0" borderId="29" applyAlignment="1" pivotButton="0" quotePrefix="0" xfId="0">
      <alignment horizontal="center" vertical="center"/>
    </xf>
    <xf numFmtId="0" fontId="123" fillId="2" borderId="0" applyAlignment="1" pivotButton="0" quotePrefix="0" xfId="0">
      <alignment horizontal="general" vertical="bottom"/>
    </xf>
    <xf numFmtId="2" fontId="125" fillId="17" borderId="6" applyAlignment="1" applyProtection="1" pivotButton="0" quotePrefix="0" xfId="0">
      <alignment horizontal="left" vertical="center"/>
      <protection locked="0" hidden="0"/>
    </xf>
    <xf numFmtId="0" fontId="117" fillId="2" borderId="47" applyAlignment="1" applyProtection="1" pivotButton="0" quotePrefix="0" xfId="0">
      <alignment horizontal="center" vertical="center"/>
      <protection locked="0" hidden="0"/>
    </xf>
    <xf numFmtId="0" fontId="117" fillId="2" borderId="7" applyAlignment="1" applyProtection="1" pivotButton="0" quotePrefix="0" xfId="0">
      <alignment horizontal="center" vertical="center"/>
      <protection locked="0" hidden="0"/>
    </xf>
    <xf numFmtId="0" fontId="118" fillId="2" borderId="21" applyAlignment="1" applyProtection="1" pivotButton="0" quotePrefix="0" xfId="0">
      <alignment horizontal="center" vertical="center" wrapText="1"/>
      <protection locked="0" hidden="0"/>
    </xf>
    <xf numFmtId="2" fontId="123" fillId="0" borderId="0" applyAlignment="1" pivotButton="0" quotePrefix="0" xfId="0">
      <alignment horizontal="general" vertical="bottom"/>
    </xf>
    <xf numFmtId="2" fontId="118" fillId="17" borderId="6" applyAlignment="1" applyProtection="1" pivotButton="0" quotePrefix="0" xfId="0">
      <alignment horizontal="left" vertical="center"/>
      <protection locked="0" hidden="0"/>
    </xf>
    <xf numFmtId="0" fontId="126" fillId="2" borderId="73" applyAlignment="1" applyProtection="1" pivotButton="0" quotePrefix="0" xfId="0">
      <alignment horizontal="center" vertical="center"/>
      <protection locked="0" hidden="0"/>
    </xf>
    <xf numFmtId="0" fontId="118" fillId="2" borderId="6" applyAlignment="1" pivotButton="0" quotePrefix="0" xfId="0">
      <alignment horizontal="center" vertical="center"/>
    </xf>
    <xf numFmtId="0" fontId="118" fillId="2" borderId="8" applyAlignment="1" applyProtection="1" pivotButton="0" quotePrefix="0" xfId="0">
      <alignment horizontal="center" vertical="center"/>
      <protection locked="0" hidden="0"/>
    </xf>
    <xf numFmtId="0" fontId="122" fillId="16" borderId="15" applyAlignment="1" pivotButton="0" quotePrefix="0" xfId="0">
      <alignment horizontal="left" vertical="center" wrapText="1"/>
    </xf>
    <xf numFmtId="2" fontId="118" fillId="2" borderId="43" applyAlignment="1" applyProtection="1" pivotButton="0" quotePrefix="0" xfId="0">
      <alignment horizontal="center" vertical="center"/>
      <protection locked="0" hidden="0"/>
    </xf>
    <xf numFmtId="2" fontId="122" fillId="2" borderId="27" applyAlignment="1" pivotButton="0" quotePrefix="0" xfId="0">
      <alignment horizontal="center" vertical="center" wrapText="1"/>
    </xf>
    <xf numFmtId="0" fontId="122" fillId="2" borderId="6" applyAlignment="1" pivotButton="0" quotePrefix="0" xfId="0">
      <alignment horizontal="general" vertical="center" wrapText="1"/>
    </xf>
    <xf numFmtId="0" fontId="122" fillId="2" borderId="6" applyAlignment="1" pivotButton="0" quotePrefix="0" xfId="0">
      <alignment horizontal="center" vertical="center" wrapText="1"/>
    </xf>
    <xf numFmtId="2" fontId="127" fillId="0" borderId="0" applyAlignment="1" pivotButton="0" quotePrefix="0" xfId="0">
      <alignment horizontal="general" vertical="bottom"/>
    </xf>
    <xf numFmtId="0" fontId="121" fillId="0" borderId="6" applyAlignment="1" pivotButton="0" quotePrefix="0" xfId="0">
      <alignment horizontal="left" vertical="bottom"/>
    </xf>
    <xf numFmtId="0" fontId="121" fillId="0" borderId="33" applyAlignment="1" pivotButton="0" quotePrefix="0" xfId="0">
      <alignment horizontal="general" vertical="bottom"/>
    </xf>
    <xf numFmtId="0" fontId="128" fillId="4" borderId="6" applyAlignment="1" pivotButton="0" quotePrefix="0" xfId="0">
      <alignment horizontal="left" vertical="center" wrapText="1"/>
    </xf>
    <xf numFmtId="0" fontId="128" fillId="7" borderId="74" applyAlignment="1" pivotButton="0" quotePrefix="0" xfId="0">
      <alignment horizontal="center" vertical="center" wrapText="1"/>
    </xf>
    <xf numFmtId="0" fontId="128" fillId="7" borderId="75" applyAlignment="1" pivotButton="0" quotePrefix="0" xfId="0">
      <alignment horizontal="center" vertical="center" wrapText="1"/>
    </xf>
    <xf numFmtId="0" fontId="128" fillId="7" borderId="52" applyAlignment="1" pivotButton="0" quotePrefix="0" xfId="0">
      <alignment horizontal="left" vertical="center" wrapText="1"/>
    </xf>
    <xf numFmtId="2" fontId="5" fillId="7" borderId="0" applyAlignment="1" pivotButton="0" quotePrefix="0" xfId="0">
      <alignment horizontal="general" vertical="bottom"/>
    </xf>
    <xf numFmtId="0" fontId="5" fillId="7" borderId="0" applyAlignment="1" pivotButton="0" quotePrefix="0" xfId="0">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29" fillId="17" borderId="47" applyAlignment="1" applyProtection="1" pivotButton="0" quotePrefix="0" xfId="0">
      <alignment horizontal="center" vertical="center"/>
      <protection locked="0" hidden="0"/>
    </xf>
    <xf numFmtId="2" fontId="129" fillId="17" borderId="7" applyAlignment="1" applyProtection="1" pivotButton="0" quotePrefix="0" xfId="0">
      <alignment horizontal="center" vertical="center"/>
      <protection locked="0" hidden="0"/>
    </xf>
    <xf numFmtId="2" fontId="130" fillId="17" borderId="7" applyAlignment="1" applyProtection="1" pivotButton="0" quotePrefix="0" xfId="0">
      <alignment horizontal="center" vertical="center"/>
      <protection locked="0" hidden="0"/>
    </xf>
    <xf numFmtId="2" fontId="122" fillId="17" borderId="21" applyAlignment="1" applyProtection="1" pivotButton="0" quotePrefix="0" xfId="0">
      <alignment horizontal="center" vertical="center" wrapText="1"/>
      <protection locked="0" hidden="0"/>
    </xf>
    <xf numFmtId="2" fontId="119" fillId="0" borderId="0" applyAlignment="1" applyProtection="1" pivotButton="0" quotePrefix="0" xfId="0">
      <alignment horizontal="center" vertical="center"/>
      <protection locked="0" hidden="0"/>
    </xf>
    <xf numFmtId="2" fontId="88" fillId="0" borderId="0" applyAlignment="1" applyProtection="1" pivotButton="0" quotePrefix="0" xfId="0">
      <alignment horizontal="center" vertical="center"/>
      <protection locked="0" hidden="0"/>
    </xf>
    <xf numFmtId="0" fontId="5" fillId="0" borderId="0" applyAlignment="1" applyProtection="1" pivotButton="0" quotePrefix="0" xfId="0">
      <alignment horizontal="general" vertical="bottom"/>
      <protection locked="0" hidden="0"/>
    </xf>
    <xf numFmtId="2" fontId="131" fillId="0" borderId="0" applyAlignment="1" applyProtection="1" pivotButton="0" quotePrefix="0" xfId="0">
      <alignment horizontal="general" vertical="center"/>
      <protection locked="0" hidden="0"/>
    </xf>
    <xf numFmtId="2" fontId="129" fillId="17" borderId="44" applyAlignment="1" applyProtection="1" pivotButton="0" quotePrefix="0" xfId="0">
      <alignment horizontal="center" vertical="center"/>
      <protection locked="0" hidden="0"/>
    </xf>
    <xf numFmtId="2" fontId="129" fillId="17" borderId="6" applyAlignment="1" applyProtection="1" pivotButton="0" quotePrefix="0" xfId="0">
      <alignment horizontal="center" vertical="center"/>
      <protection locked="0" hidden="0"/>
    </xf>
    <xf numFmtId="2" fontId="130" fillId="17" borderId="6" applyAlignment="1" applyProtection="1" pivotButton="0" quotePrefix="0" xfId="0">
      <alignment horizontal="center" vertical="center"/>
      <protection locked="0" hidden="0"/>
    </xf>
    <xf numFmtId="2" fontId="122" fillId="17" borderId="8" applyAlignment="1" applyProtection="1" pivotButton="0" quotePrefix="0" xfId="0">
      <alignment horizontal="center" vertical="center" wrapText="1"/>
      <protection locked="0" hidden="0"/>
    </xf>
    <xf numFmtId="2" fontId="123" fillId="0" borderId="0" applyAlignment="1" applyProtection="1" pivotButton="0" quotePrefix="0" xfId="0">
      <alignment horizontal="general" vertical="bottom"/>
      <protection locked="0" hidden="0"/>
    </xf>
    <xf numFmtId="2" fontId="88" fillId="0" borderId="0" applyAlignment="1" applyProtection="1" pivotButton="0" quotePrefix="0" xfId="0">
      <alignment horizontal="center" vertical="center"/>
      <protection locked="0" hidden="0"/>
    </xf>
    <xf numFmtId="0" fontId="88" fillId="0" borderId="0" applyAlignment="1" applyProtection="1" pivotButton="0" quotePrefix="0" xfId="0">
      <alignment horizontal="center" vertical="center"/>
      <protection locked="0" hidden="0"/>
    </xf>
    <xf numFmtId="0" fontId="127" fillId="0" borderId="0" applyAlignment="1" applyProtection="1" pivotButton="0" quotePrefix="0" xfId="0">
      <alignment horizontal="general" vertical="bottom"/>
      <protection locked="0" hidden="0"/>
    </xf>
    <xf numFmtId="0" fontId="119" fillId="0" borderId="0" applyAlignment="1" applyProtection="1" pivotButton="0" quotePrefix="0" xfId="0">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75" fillId="0" borderId="14" applyAlignment="1" applyProtection="1" pivotButton="0" quotePrefix="0" xfId="0">
      <alignment horizontal="center" vertical="center"/>
      <protection locked="0" hidden="0"/>
    </xf>
    <xf numFmtId="2" fontId="129" fillId="20" borderId="6" applyAlignment="1" applyProtection="1" pivotButton="0" quotePrefix="0" xfId="0">
      <alignment horizontal="center" vertical="center"/>
      <protection locked="0" hidden="0"/>
    </xf>
    <xf numFmtId="2" fontId="130" fillId="20" borderId="6" applyAlignment="1" applyProtection="1" pivotButton="0" quotePrefix="0" xfId="0">
      <alignment horizontal="center" vertical="center"/>
      <protection locked="0" hidden="0"/>
    </xf>
    <xf numFmtId="0" fontId="132" fillId="0" borderId="25" applyAlignment="1" applyProtection="1" pivotButton="0" quotePrefix="0" xfId="0">
      <alignment horizontal="center" vertical="center"/>
      <protection locked="0" hidden="0"/>
    </xf>
    <xf numFmtId="2" fontId="132" fillId="0" borderId="25" applyAlignment="1" applyProtection="1" pivotButton="0" quotePrefix="0" xfId="0">
      <alignment horizontal="center" vertical="center"/>
      <protection locked="0" hidden="0"/>
    </xf>
    <xf numFmtId="2" fontId="5" fillId="0" borderId="0" applyAlignment="1" applyProtection="1" pivotButton="0" quotePrefix="0" xfId="0">
      <alignment horizontal="general" vertical="bottom"/>
      <protection locked="0" hidden="0"/>
    </xf>
    <xf numFmtId="0" fontId="133" fillId="2" borderId="25" applyAlignment="1" applyProtection="1" pivotButton="0" quotePrefix="0" xfId="0">
      <alignment horizontal="center" vertical="center"/>
      <protection locked="0" hidden="0"/>
    </xf>
    <xf numFmtId="2" fontId="134" fillId="0" borderId="4" applyAlignment="1" pivotButton="0" quotePrefix="0" xfId="0">
      <alignment horizontal="center" vertical="bottom"/>
    </xf>
    <xf numFmtId="177" fontId="5" fillId="0" borderId="0" applyAlignment="1" applyProtection="1" pivotButton="0" quotePrefix="0" xfId="0">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75" fillId="0" borderId="74" applyAlignment="1" applyProtection="1" pivotButton="0" quotePrefix="0" xfId="0">
      <alignment horizontal="center" vertical="center"/>
      <protection locked="0" hidden="0"/>
    </xf>
    <xf numFmtId="0" fontId="132" fillId="0" borderId="52" applyAlignment="1" applyProtection="1" pivotButton="0" quotePrefix="0" xfId="0">
      <alignment horizontal="center" vertical="center"/>
      <protection locked="0" hidden="0"/>
    </xf>
    <xf numFmtId="0" fontId="122" fillId="2" borderId="25" applyAlignment="1" applyProtection="1" pivotButton="0" quotePrefix="0" xfId="0">
      <alignment horizontal="center" vertical="center"/>
      <protection locked="0" hidden="0"/>
    </xf>
    <xf numFmtId="0" fontId="133" fillId="2" borderId="52" applyAlignment="1" applyProtection="1" pivotButton="0" quotePrefix="0" xfId="0">
      <alignment horizontal="center" vertical="center"/>
      <protection locked="0" hidden="0"/>
    </xf>
    <xf numFmtId="0" fontId="133" fillId="4" borderId="25" applyAlignment="1" applyProtection="1" pivotButton="0" quotePrefix="0" xfId="0">
      <alignment horizontal="center" vertical="center"/>
      <protection locked="0" hidden="0"/>
    </xf>
    <xf numFmtId="0" fontId="135" fillId="4" borderId="6" applyAlignment="1" applyProtection="1" pivotButton="0" quotePrefix="0" xfId="0">
      <alignment horizontal="center" vertical="center"/>
      <protection locked="0" hidden="0"/>
    </xf>
    <xf numFmtId="2" fontId="75" fillId="17" borderId="14" applyAlignment="1" applyProtection="1" pivotButton="0" quotePrefix="0" xfId="0">
      <alignment horizontal="center" vertical="center"/>
      <protection locked="0" hidden="0"/>
    </xf>
    <xf numFmtId="0" fontId="122" fillId="20" borderId="21" applyAlignment="1" applyProtection="1" pivotButton="0" quotePrefix="0" xfId="0">
      <alignment horizontal="center" vertical="center" wrapText="1"/>
      <protection locked="0" hidden="0"/>
    </xf>
    <xf numFmtId="2" fontId="129" fillId="20" borderId="44" applyAlignment="1" applyProtection="1" pivotButton="0" quotePrefix="0" xfId="0">
      <alignment horizontal="center" vertical="center"/>
      <protection locked="0" hidden="0"/>
    </xf>
    <xf numFmtId="0" fontId="136" fillId="20" borderId="8" applyAlignment="1" applyProtection="1" pivotButton="0" quotePrefix="0" xfId="0">
      <alignment horizontal="center" vertical="center" wrapText="1"/>
      <protection locked="0" hidden="0"/>
    </xf>
    <xf numFmtId="0" fontId="122" fillId="20" borderId="8" applyAlignment="1" applyProtection="1" pivotButton="0" quotePrefix="0" xfId="0">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86" fillId="0" borderId="0" applyAlignment="1" applyProtection="1" pivotButton="0" quotePrefix="0" xfId="0">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75" fillId="0" borderId="44" applyAlignment="1" applyProtection="1" pivotButton="0" quotePrefix="0" xfId="0">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0">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75" fillId="20" borderId="47" applyAlignment="1" applyProtection="1" pivotButton="0" quotePrefix="0" xfId="0">
      <alignment horizontal="center" vertical="center"/>
      <protection locked="0" hidden="0"/>
    </xf>
    <xf numFmtId="178" fontId="120" fillId="20" borderId="21" applyAlignment="1" applyProtection="1" pivotButton="0" quotePrefix="0" xfId="0">
      <alignment horizontal="center" vertical="center"/>
      <protection locked="0" hidden="0"/>
    </xf>
    <xf numFmtId="2" fontId="75" fillId="20" borderId="44" applyAlignment="1" applyProtection="1" pivotButton="0" quotePrefix="0" xfId="0">
      <alignment horizontal="center" vertical="center"/>
      <protection locked="0" hidden="0"/>
    </xf>
    <xf numFmtId="0" fontId="120" fillId="20" borderId="8" applyAlignment="1" applyProtection="1" pivotButton="0" quotePrefix="0" xfId="0">
      <alignment horizontal="center" vertical="center" wrapText="1"/>
      <protection locked="0" hidden="0"/>
    </xf>
    <xf numFmtId="2" fontId="75" fillId="20" borderId="16" applyAlignment="1" applyProtection="1" pivotButton="0" quotePrefix="0" xfId="0">
      <alignment horizontal="center" vertical="center"/>
      <protection locked="0" hidden="0"/>
    </xf>
    <xf numFmtId="178" fontId="120" fillId="20" borderId="12" applyAlignment="1" applyProtection="1" pivotButton="0" quotePrefix="0" xfId="0">
      <alignment horizontal="center" vertical="center"/>
      <protection locked="0" hidden="0"/>
    </xf>
    <xf numFmtId="178" fontId="120" fillId="20" borderId="23" applyAlignment="1" applyProtection="1" pivotButton="0" quotePrefix="0" xfId="0">
      <alignment horizontal="center" vertical="center"/>
      <protection locked="0" hidden="0"/>
    </xf>
    <xf numFmtId="0" fontId="85" fillId="0" borderId="0" applyAlignment="1" applyProtection="1" pivotButton="0" quotePrefix="0" xfId="0">
      <alignment horizontal="general" vertical="bottom"/>
      <protection locked="0" hidden="0"/>
    </xf>
    <xf numFmtId="178" fontId="120" fillId="20" borderId="25" applyAlignment="1" applyProtection="1" pivotButton="0" quotePrefix="0" xfId="0">
      <alignment horizontal="center" vertical="center"/>
      <protection locked="0" hidden="0"/>
    </xf>
    <xf numFmtId="178" fontId="120" fillId="20" borderId="8" applyAlignment="1" applyProtection="1" pivotButton="0" quotePrefix="0" xfId="0">
      <alignment horizontal="center" vertical="center"/>
      <protection locked="0" hidden="0"/>
    </xf>
    <xf numFmtId="2" fontId="120" fillId="20" borderId="8" applyAlignment="1" applyProtection="1" pivotButton="0" quotePrefix="0" xfId="0">
      <alignment horizontal="center" vertical="center"/>
      <protection locked="0" hidden="0"/>
    </xf>
    <xf numFmtId="0" fontId="123" fillId="4" borderId="0" applyAlignment="1" applyProtection="1" pivotButton="0" quotePrefix="0" xfId="0">
      <alignment horizontal="general" vertical="center" wrapText="1"/>
      <protection locked="0" hidden="0"/>
    </xf>
    <xf numFmtId="0" fontId="5" fillId="0" borderId="0" applyAlignment="1" applyProtection="1" pivotButton="0" quotePrefix="0" xfId="0">
      <alignment horizontal="general" vertical="center" wrapText="1"/>
      <protection locked="0" hidden="0"/>
    </xf>
    <xf numFmtId="0" fontId="123" fillId="0" borderId="0" applyAlignment="1" applyProtection="1" pivotButton="0" quotePrefix="0" xfId="0">
      <alignment horizontal="general" vertical="bottom"/>
      <protection locked="0" hidden="0"/>
    </xf>
    <xf numFmtId="1" fontId="120" fillId="20" borderId="12" applyAlignment="1" applyProtection="1" pivotButton="0" quotePrefix="0" xfId="0">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0" fillId="0" borderId="8" applyAlignment="1" applyProtection="1" pivotButton="0" quotePrefix="0" xfId="0">
      <alignment horizontal="center" vertical="center"/>
      <protection locked="0" hidden="0"/>
    </xf>
    <xf numFmtId="0" fontId="120" fillId="0" borderId="23" applyAlignment="1" applyProtection="1" pivotButton="0" quotePrefix="0" xfId="0">
      <alignment horizontal="center" vertical="center"/>
      <protection locked="0" hidden="0"/>
    </xf>
    <xf numFmtId="0" fontId="135" fillId="4" borderId="76" applyAlignment="1" applyProtection="1" pivotButton="0" quotePrefix="0" xfId="0">
      <alignment horizontal="center" vertical="center"/>
      <protection locked="0" hidden="0"/>
    </xf>
    <xf numFmtId="0" fontId="135" fillId="4" borderId="50" applyAlignment="1" applyProtection="1" pivotButton="0" quotePrefix="0" xfId="0">
      <alignment horizontal="center" vertical="center"/>
      <protection locked="0" hidden="0"/>
    </xf>
    <xf numFmtId="0" fontId="120" fillId="0" borderId="25" applyAlignment="1" applyProtection="1" pivotButton="0" quotePrefix="0" xfId="0">
      <alignment horizontal="center" vertical="center"/>
      <protection locked="0" hidden="0"/>
    </xf>
    <xf numFmtId="1" fontId="120" fillId="20" borderId="21" applyAlignment="1" applyProtection="1" pivotButton="0" quotePrefix="0" xfId="0">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137" fillId="4" borderId="8" applyAlignment="1" applyProtection="1" pivotButton="0" quotePrefix="0" xfId="0">
      <alignment horizontal="center" vertical="center"/>
      <protection locked="0" hidden="0"/>
    </xf>
    <xf numFmtId="0" fontId="133" fillId="4" borderId="52" applyAlignment="1" applyProtection="1" pivotButton="0" quotePrefix="0" xfId="0">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75" fillId="20" borderId="14" applyAlignment="1" applyProtection="1" pivotButton="0" quotePrefix="0" xfId="0">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0" fillId="20" borderId="8" applyAlignment="1" applyProtection="1" pivotButton="0" quotePrefix="0" xfId="0">
      <alignment horizontal="center" vertical="center" wrapText="1"/>
      <protection locked="0" hidden="0"/>
    </xf>
    <xf numFmtId="0" fontId="133" fillId="2" borderId="8" applyAlignment="1" applyProtection="1" pivotButton="0" quotePrefix="0" xfId="0">
      <alignment horizontal="center" vertical="center"/>
      <protection locked="0" hidden="0"/>
    </xf>
    <xf numFmtId="2" fontId="75" fillId="2" borderId="14" applyAlignment="1" applyProtection="1" pivotButton="0" quotePrefix="0" xfId="0">
      <alignment horizontal="center" vertical="center"/>
      <protection locked="0" hidden="0"/>
    </xf>
    <xf numFmtId="0" fontId="5" fillId="2" borderId="0" applyAlignment="1" applyProtection="1" pivotButton="0" quotePrefix="0" xfId="0">
      <alignment horizontal="general" vertical="bottom"/>
      <protection locked="0" hidden="0"/>
    </xf>
    <xf numFmtId="1" fontId="121" fillId="20" borderId="21" applyAlignment="1" applyProtection="1" pivotButton="0" quotePrefix="0" xfId="0">
      <alignment horizontal="center" vertical="center"/>
      <protection locked="0" hidden="0"/>
    </xf>
    <xf numFmtId="2" fontId="138" fillId="20" borderId="44" applyAlignment="1" applyProtection="1" pivotButton="0" quotePrefix="0" xfId="0">
      <alignment horizontal="center" vertical="center"/>
      <protection locked="0" hidden="0"/>
    </xf>
    <xf numFmtId="1" fontId="121" fillId="20" borderId="8" applyAlignment="1" applyProtection="1" pivotButton="0" quotePrefix="0" xfId="0">
      <alignment horizontal="center" vertical="center" wrapText="1"/>
      <protection locked="0" hidden="0"/>
    </xf>
    <xf numFmtId="2" fontId="138" fillId="20" borderId="16" applyAlignment="1" applyProtection="1" pivotButton="0" quotePrefix="0" xfId="0">
      <alignment horizontal="center" vertical="center"/>
      <protection locked="0" hidden="0"/>
    </xf>
    <xf numFmtId="0" fontId="120" fillId="20" borderId="12" applyAlignment="1" applyProtection="1" pivotButton="0" quotePrefix="0" xfId="0">
      <alignment horizontal="center" vertical="center" wrapText="1"/>
      <protection locked="0" hidden="0"/>
    </xf>
    <xf numFmtId="2" fontId="138" fillId="4" borderId="74" applyAlignment="1" applyProtection="1" pivotButton="0" quotePrefix="0" xfId="0">
      <alignment horizontal="center" vertical="center"/>
      <protection locked="0" hidden="0"/>
    </xf>
    <xf numFmtId="0" fontId="121" fillId="4" borderId="52" applyAlignment="1" applyProtection="1" pivotButton="0" quotePrefix="0" xfId="0">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0">
      <alignment horizontal="left" vertical="center" textRotation="90" wrapText="1"/>
      <protection locked="0" hidden="0"/>
    </xf>
    <xf numFmtId="0" fontId="5" fillId="4" borderId="6" applyAlignment="1" applyProtection="1" pivotButton="0" quotePrefix="0" xfId="0">
      <alignment horizontal="left" vertical="center"/>
      <protection locked="0" hidden="0"/>
    </xf>
    <xf numFmtId="0" fontId="5" fillId="0" borderId="6" applyAlignment="1" applyProtection="1" pivotButton="0" quotePrefix="0" xfId="0">
      <alignment horizontal="left" vertical="center"/>
      <protection locked="0" hidden="0"/>
    </xf>
    <xf numFmtId="0" fontId="5" fillId="0" borderId="0" applyAlignment="1" applyProtection="1" pivotButton="0" quotePrefix="0" xfId="0">
      <alignment horizontal="center" vertical="center"/>
      <protection locked="0" hidden="0"/>
    </xf>
    <xf numFmtId="0" fontId="5" fillId="0" borderId="6" applyAlignment="1" applyProtection="1" pivotButton="0" quotePrefix="0" xfId="0">
      <alignment horizontal="left" vertical="center" wrapText="1"/>
      <protection locked="0" hidden="0"/>
    </xf>
    <xf numFmtId="0" fontId="5" fillId="0" borderId="6" applyAlignment="1" applyProtection="1" pivotButton="0" quotePrefix="0" xfId="0">
      <alignment horizontal="left" vertical="bottom" wrapText="1"/>
      <protection locked="0" hidden="0"/>
    </xf>
    <xf numFmtId="0" fontId="5" fillId="4" borderId="6" applyAlignment="1" applyProtection="1" pivotButton="0" quotePrefix="0" xfId="0">
      <alignment horizontal="left" vertical="bottom"/>
      <protection locked="0" hidden="0"/>
    </xf>
    <xf numFmtId="0" fontId="5" fillId="0" borderId="6" applyAlignment="1" applyProtection="1" pivotButton="0" quotePrefix="0" xfId="0">
      <alignment horizontal="left" vertical="bottom"/>
      <protection locked="0" hidden="0"/>
    </xf>
    <xf numFmtId="0" fontId="5" fillId="0" borderId="6" applyAlignment="1" pivotButton="0" quotePrefix="0" xfId="0">
      <alignment horizontal="left" vertical="bottom" wrapText="1"/>
    </xf>
    <xf numFmtId="0" fontId="5" fillId="4" borderId="0" applyAlignment="1" pivotButton="0" quotePrefix="0" xfId="0">
      <alignment horizontal="general" vertical="bottom"/>
    </xf>
    <xf numFmtId="0" fontId="139"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27" applyAlignment="1" pivotButton="0" quotePrefix="0" xfId="0">
      <alignment horizontal="general" vertical="bottom"/>
    </xf>
    <xf numFmtId="2" fontId="0" fillId="41" borderId="27" applyAlignment="1" pivotButton="0" quotePrefix="0" xfId="0">
      <alignment horizontal="general" vertical="bottom"/>
    </xf>
    <xf numFmtId="0" fontId="0" fillId="42" borderId="6" applyAlignment="1" pivotButton="0" quotePrefix="0" xfId="0">
      <alignment horizontal="general" vertical="bottom"/>
    </xf>
    <xf numFmtId="2" fontId="0" fillId="42" borderId="27" applyAlignment="1" pivotButton="0" quotePrefix="0" xfId="0">
      <alignment horizontal="general" vertical="bottom"/>
    </xf>
    <xf numFmtId="0" fontId="0" fillId="43" borderId="6" applyAlignment="1" pivotButton="0" quotePrefix="0" xfId="0">
      <alignment horizontal="general" vertical="bottom"/>
    </xf>
    <xf numFmtId="2" fontId="0" fillId="43" borderId="27" applyAlignment="1" pivotButton="0" quotePrefix="0" xfId="0">
      <alignment horizontal="general" vertical="bottom"/>
    </xf>
    <xf numFmtId="0" fontId="0" fillId="44" borderId="6" applyAlignment="1" pivotButton="0" quotePrefix="0" xfId="0">
      <alignment horizontal="general" vertical="bottom"/>
    </xf>
    <xf numFmtId="2" fontId="0" fillId="44" borderId="27" applyAlignment="1" pivotButton="0" quotePrefix="0" xfId="0">
      <alignment horizontal="general" vertical="bottom"/>
    </xf>
    <xf numFmtId="0" fontId="0" fillId="45" borderId="6" applyAlignment="1" pivotButton="0" quotePrefix="0" xfId="0">
      <alignment horizontal="general" vertical="bottom"/>
    </xf>
    <xf numFmtId="2" fontId="0" fillId="45" borderId="27" applyAlignment="1" pivotButton="0" quotePrefix="0" xfId="0">
      <alignment horizontal="general" vertical="bottom"/>
    </xf>
    <xf numFmtId="0" fontId="0" fillId="46" borderId="6" applyAlignment="1" pivotButton="0" quotePrefix="0" xfId="0">
      <alignment horizontal="general" vertical="bottom"/>
    </xf>
    <xf numFmtId="2" fontId="0" fillId="46" borderId="27" applyAlignment="1" pivotButton="0" quotePrefix="0" xfId="0">
      <alignment horizontal="general" vertical="bottom"/>
    </xf>
    <xf numFmtId="0" fontId="0" fillId="47" borderId="6" applyAlignment="1" pivotButton="0" quotePrefix="0" xfId="0">
      <alignment horizontal="general" vertical="bottom"/>
    </xf>
    <xf numFmtId="2" fontId="0" fillId="47" borderId="27" applyAlignment="1" pivotButton="0" quotePrefix="0" xfId="0">
      <alignment horizontal="general" vertical="bottom"/>
    </xf>
    <xf numFmtId="0" fontId="0" fillId="48" borderId="6" applyAlignment="1" pivotButton="0" quotePrefix="0" xfId="0">
      <alignment horizontal="general" vertical="bottom"/>
    </xf>
    <xf numFmtId="2" fontId="0" fillId="48" borderId="27" applyAlignment="1" pivotButton="0" quotePrefix="0" xfId="0">
      <alignment horizontal="general" vertical="bottom"/>
    </xf>
    <xf numFmtId="0" fontId="0" fillId="49" borderId="6" applyAlignment="1" pivotButton="0" quotePrefix="0" xfId="0">
      <alignment horizontal="general" vertical="bottom"/>
    </xf>
    <xf numFmtId="2" fontId="0" fillId="49" borderId="27" applyAlignment="1" pivotButton="0" quotePrefix="0" xfId="0">
      <alignment horizontal="general" vertical="bottom"/>
    </xf>
    <xf numFmtId="0" fontId="0" fillId="50" borderId="6" applyAlignment="1" pivotButton="0" quotePrefix="0" xfId="0">
      <alignment horizontal="general" vertical="bottom"/>
    </xf>
    <xf numFmtId="2" fontId="0" fillId="50" borderId="27"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1" pivotButton="0" quotePrefix="0" xfId="0"/>
    <xf numFmtId="0" fontId="0" fillId="0" borderId="49"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3"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3" fillId="0" borderId="5" applyAlignment="1" pivotButton="0" quotePrefix="0" xfId="0">
      <alignment horizontal="center" vertical="center" wrapText="1"/>
    </xf>
    <xf numFmtId="0" fontId="0" fillId="0" borderId="82" pivotButton="0" quotePrefix="0" xfId="0"/>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0" fillId="0" borderId="70" pivotButton="0" quotePrefix="0" xfId="0"/>
    <xf numFmtId="0" fontId="0" fillId="0" borderId="78" pivotButton="0" quotePrefix="0" xfId="0"/>
    <xf numFmtId="0" fontId="23"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3" fillId="0" borderId="0" applyAlignment="1" pivotButton="0" quotePrefix="0" xfId="0">
      <alignment horizontal="general"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0" fillId="0" borderId="48" pivotButton="0" quotePrefix="0" xfId="0"/>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1" pivotButton="0" quotePrefix="0" xfId="0"/>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79" fontId="28" fillId="2" borderId="9" applyAlignment="1" applyProtection="1" pivotButton="0" quotePrefix="0" xfId="0">
      <alignment horizontal="center" vertical="center" wrapText="1"/>
      <protection locked="0" hidden="0"/>
    </xf>
    <xf numFmtId="0" fontId="0" fillId="0" borderId="71" applyProtection="1" pivotButton="0" quotePrefix="0" xfId="0">
      <protection locked="0" hidden="0"/>
    </xf>
    <xf numFmtId="0" fontId="0" fillId="0" borderId="44" applyProtection="1" pivotButton="0" quotePrefix="0" xfId="0">
      <protection locked="0" hidden="0"/>
    </xf>
    <xf numFmtId="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top" wrapText="1"/>
      <protection locked="0" hidden="0"/>
    </xf>
    <xf numFmtId="0" fontId="0" fillId="0" borderId="49" applyProtection="1" pivotButton="0" quotePrefix="0" xfId="0">
      <protection locked="0" hidden="0"/>
    </xf>
    <xf numFmtId="0" fontId="21" fillId="2" borderId="0" applyAlignment="1" applyProtection="1" pivotButton="0" quotePrefix="0" xfId="0">
      <alignment horizontal="general" vertical="bottom" wrapText="1"/>
      <protection locked="0" hidden="0"/>
    </xf>
    <xf numFmtId="0" fontId="28" fillId="0" borderId="1" applyAlignment="1" applyProtection="1" pivotButton="0" quotePrefix="0" xfId="0">
      <alignment horizontal="general" vertical="center" wrapText="1"/>
      <protection locked="0" hidden="0"/>
    </xf>
    <xf numFmtId="0" fontId="28" fillId="0" borderId="4" applyAlignment="1" applyProtection="1" pivotButton="0" quotePrefix="0" xfId="0">
      <alignment horizontal="general" vertical="center"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center" vertical="center" wrapText="1"/>
    </xf>
    <xf numFmtId="0" fontId="30" fillId="0" borderId="0" applyAlignment="1" pivotButton="0" quotePrefix="0" xfId="0">
      <alignment horizontal="general" vertical="center"/>
    </xf>
    <xf numFmtId="0" fontId="21" fillId="0" borderId="31" applyAlignment="1" pivotButton="0" quotePrefix="0" xfId="0">
      <alignment horizontal="general" vertical="bottom" wrapText="1"/>
    </xf>
    <xf numFmtId="0" fontId="28" fillId="0" borderId="31" applyAlignment="1" pivotButton="0" quotePrefix="0" xfId="0">
      <alignment horizontal="general" vertical="center" wrapText="1"/>
    </xf>
    <xf numFmtId="0" fontId="0" fillId="0" borderId="36" applyProtection="1" pivotButton="0" quotePrefix="0" xfId="0">
      <protection locked="0" hidden="0"/>
    </xf>
    <xf numFmtId="0" fontId="0" fillId="0" borderId="70" applyProtection="1" pivotButton="0" quotePrefix="0" xfId="0">
      <protection locked="0" hidden="0"/>
    </xf>
    <xf numFmtId="0" fontId="0" fillId="0" borderId="78" applyProtection="1" pivotButton="0" quotePrefix="0" xfId="0">
      <protection locked="0" hidden="0"/>
    </xf>
    <xf numFmtId="0" fontId="0" fillId="0" borderId="79" applyProtection="1" pivotButton="0" quotePrefix="0" xfId="0">
      <protection locked="0" hidden="0"/>
    </xf>
    <xf numFmtId="0" fontId="0" fillId="0" borderId="33" pivotButton="0" quotePrefix="0" xfId="0"/>
    <xf numFmtId="0" fontId="0" fillId="0" borderId="36" pivotButton="0" quotePrefix="0" xfId="0"/>
    <xf numFmtId="0" fontId="0" fillId="0" borderId="42" applyProtection="1" pivotButton="0" quotePrefix="0" xfId="0">
      <protection locked="0" hidden="0"/>
    </xf>
    <xf numFmtId="0" fontId="0" fillId="0" borderId="43" applyProtection="1" pivotButton="0" quotePrefix="0" xfId="0">
      <protection locked="0" hidden="0"/>
    </xf>
    <xf numFmtId="0" fontId="0" fillId="0" borderId="14" applyProtection="1" pivotButton="0" quotePrefix="0" xfId="0">
      <protection locked="0" hidden="0"/>
    </xf>
    <xf numFmtId="0" fontId="0" fillId="0" borderId="110" applyProtection="1" pivotButton="0" quotePrefix="0" xfId="0">
      <protection locked="0" hidden="0"/>
    </xf>
    <xf numFmtId="0" fontId="0" fillId="0" borderId="48" applyProtection="1" pivotButton="0" quotePrefix="0" xfId="0">
      <protection locked="0" hidden="0"/>
    </xf>
    <xf numFmtId="0" fontId="0" fillId="0" borderId="35" applyProtection="1" pivotButton="0" quotePrefix="0" xfId="0">
      <protection locked="0" hidden="0"/>
    </xf>
    <xf numFmtId="0" fontId="0" fillId="0" borderId="0" applyProtection="1" pivotButton="0" quotePrefix="0" xfId="0">
      <protection locked="0" hidden="0"/>
    </xf>
    <xf numFmtId="0" fontId="0" fillId="0" borderId="74" applyProtection="1" pivotButton="0" quotePrefix="0" xfId="0">
      <protection locked="0" hidden="0"/>
    </xf>
    <xf numFmtId="166" fontId="28" fillId="2" borderId="9" applyAlignment="1" applyProtection="1" pivotButton="0" quotePrefix="0" xfId="0">
      <alignment horizontal="center" vertical="center" wrapText="1"/>
      <protection locked="0" hidden="0"/>
    </xf>
    <xf numFmtId="2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center" wrapText="1"/>
      <protection locked="0" hidden="0"/>
    </xf>
    <xf numFmtId="20" fontId="29" fillId="0" borderId="6" applyAlignment="1" applyProtection="1" pivotButton="0" quotePrefix="0" xfId="0">
      <alignment horizontal="center" vertical="center" wrapText="1"/>
      <protection locked="0" hidden="0"/>
    </xf>
    <xf numFmtId="20" fontId="29" fillId="0" borderId="6" applyAlignment="1" applyProtection="1" pivotButton="0" quotePrefix="0" xfId="0">
      <alignment horizontal="center" vertical="bottom" wrapText="1"/>
      <protection locked="0" hidden="0"/>
    </xf>
    <xf numFmtId="170" fontId="28" fillId="2" borderId="24" applyAlignment="1" pivotButton="0" quotePrefix="0" xfId="0">
      <alignment horizontal="center" vertical="center" wrapText="1"/>
    </xf>
    <xf numFmtId="0" fontId="28" fillId="2" borderId="6" applyAlignment="1" pivotButton="0" quotePrefix="0" xfId="0">
      <alignment horizontal="center" vertical="center" wrapText="1"/>
    </xf>
    <xf numFmtId="0" fontId="26" fillId="2" borderId="27" applyAlignment="1" pivotButton="0" quotePrefix="0" xfId="0">
      <alignment horizontal="general" vertical="top"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170" fontId="28" fillId="2" borderId="30" applyAlignment="1" pivotButton="0" quotePrefix="0" xfId="0">
      <alignment horizontal="center" vertical="center" wrapText="1"/>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30" fillId="0" borderId="0" applyAlignment="1" applyProtection="1" pivotButton="0" quotePrefix="0" xfId="0">
      <alignment horizontal="general" vertical="center"/>
      <protection locked="0" hidden="0"/>
    </xf>
    <xf numFmtId="0" fontId="21" fillId="0" borderId="31" applyAlignment="1" applyProtection="1" pivotButton="0" quotePrefix="0" xfId="0">
      <alignment horizontal="general" vertical="bottom" wrapText="1"/>
      <protection locked="0" hidden="0"/>
    </xf>
    <xf numFmtId="0" fontId="28" fillId="0" borderId="31" applyAlignment="1" pivotButton="0" quotePrefix="0" xfId="0">
      <alignment horizontal="general" vertical="center" wrapText="1"/>
    </xf>
    <xf numFmtId="0" fontId="0" fillId="0" borderId="32" applyAlignment="1" applyProtection="1" pivotButton="0" quotePrefix="0" xfId="0">
      <alignment horizontal="general" vertical="bottom"/>
      <protection locked="0" hidden="0"/>
    </xf>
    <xf numFmtId="0" fontId="0" fillId="0" borderId="33" applyAlignment="1" applyProtection="1" pivotButton="0" quotePrefix="0" xfId="0">
      <alignment horizontal="general" vertical="bottom"/>
      <protection locked="0" hidden="0"/>
    </xf>
    <xf numFmtId="0" fontId="31" fillId="2" borderId="0" applyAlignment="1" applyProtection="1" pivotButton="0" quotePrefix="0" xfId="0">
      <alignment horizontal="general" vertical="center" wrapText="1"/>
      <protection locked="0" hidden="0"/>
    </xf>
    <xf numFmtId="0" fontId="32" fillId="0" borderId="0" applyAlignment="1" applyProtection="1" pivotButton="0" quotePrefix="0" xfId="0">
      <alignment horizontal="left" vertical="top"/>
      <protection locked="0" hidden="0"/>
    </xf>
    <xf numFmtId="0" fontId="32" fillId="0" borderId="1" applyAlignment="1" pivotButton="0" quotePrefix="0" xfId="0">
      <alignment horizontal="left" vertical="top"/>
    </xf>
    <xf numFmtId="0" fontId="32" fillId="0" borderId="2" applyAlignment="1" pivotButton="0" quotePrefix="0" xfId="0">
      <alignment horizontal="left" vertical="top"/>
    </xf>
    <xf numFmtId="0" fontId="32" fillId="0" borderId="3" applyAlignment="1" pivotButton="0" quotePrefix="0" xfId="0">
      <alignment horizontal="left" vertical="top"/>
    </xf>
    <xf numFmtId="0" fontId="33" fillId="7" borderId="4" applyAlignment="1" pivotButton="0" quotePrefix="0" xfId="0">
      <alignment horizontal="center" vertical="top"/>
    </xf>
    <xf numFmtId="0" fontId="34" fillId="0" borderId="34" applyAlignment="1" pivotButton="0" quotePrefix="0" xfId="0">
      <alignment horizontal="center" vertical="top" wrapText="1"/>
    </xf>
    <xf numFmtId="0" fontId="0" fillId="0" borderId="28" pivotButton="0" quotePrefix="0" xfId="0"/>
    <xf numFmtId="0" fontId="34" fillId="0" borderId="28" applyAlignment="1" pivotButton="0" quotePrefix="0" xfId="0">
      <alignment horizontal="left" vertical="center" wrapText="1"/>
    </xf>
    <xf numFmtId="0" fontId="34" fillId="0" borderId="28" applyAlignment="1" pivotButton="0" quotePrefix="0" xfId="0">
      <alignment horizontal="left" vertical="top" wrapText="1"/>
    </xf>
    <xf numFmtId="1" fontId="33" fillId="0" borderId="29" applyAlignment="1" pivotButton="0" quotePrefix="0" xfId="0">
      <alignment horizontal="left" vertical="top" shrinkToFit="1" indent="1"/>
    </xf>
    <xf numFmtId="0" fontId="0" fillId="0" borderId="29" pivotButton="0" quotePrefix="0" xfId="0"/>
    <xf numFmtId="0" fontId="34" fillId="0" borderId="35" applyAlignment="1" pivotButton="0" quotePrefix="0" xfId="0">
      <alignment horizontal="center" vertical="top" wrapText="1"/>
    </xf>
    <xf numFmtId="0" fontId="34" fillId="0" borderId="0" applyAlignment="1" pivotButton="0" quotePrefix="0" xfId="0">
      <alignment horizontal="left" vertical="center" wrapText="1"/>
    </xf>
    <xf numFmtId="0" fontId="34" fillId="0" borderId="0" applyAlignment="1" pivotButton="0" quotePrefix="0" xfId="0">
      <alignment horizontal="left" vertical="top" wrapText="1"/>
    </xf>
    <xf numFmtId="1" fontId="33" fillId="0" borderId="31" applyAlignment="1" pivotButton="0" quotePrefix="0" xfId="0">
      <alignment horizontal="left" vertical="top" shrinkToFit="1" indent="1"/>
    </xf>
    <xf numFmtId="0" fontId="34" fillId="0" borderId="33" applyAlignment="1" pivotButton="0" quotePrefix="0" xfId="0">
      <alignment horizontal="left" vertical="top" wrapText="1"/>
    </xf>
    <xf numFmtId="0" fontId="34" fillId="0" borderId="36" applyAlignment="1" pivotButton="0" quotePrefix="0" xfId="0">
      <alignment horizontal="center" vertical="top" wrapText="1"/>
    </xf>
    <xf numFmtId="1" fontId="33" fillId="0" borderId="37" applyAlignment="1" pivotButton="0" quotePrefix="0" xfId="0">
      <alignment horizontal="left" vertical="top" shrinkToFit="1" indent="1"/>
    </xf>
    <xf numFmtId="0" fontId="0" fillId="0" borderId="37" pivotButton="0" quotePrefix="0" xfId="0"/>
    <xf numFmtId="0" fontId="32" fillId="0" borderId="0" applyAlignment="1" applyProtection="1" pivotButton="0" quotePrefix="0" xfId="0">
      <alignment horizontal="center" vertical="center"/>
      <protection locked="0" hidden="0"/>
    </xf>
    <xf numFmtId="0" fontId="34" fillId="7" borderId="38" applyAlignment="1" pivotButton="0" quotePrefix="0" xfId="0">
      <alignment horizontal="center" vertical="center" wrapText="1"/>
    </xf>
    <xf numFmtId="0" fontId="34" fillId="7" borderId="39" applyAlignment="1" pivotButton="0" quotePrefix="0" xfId="0">
      <alignment horizontal="center" vertical="center" wrapText="1"/>
    </xf>
    <xf numFmtId="0" fontId="34" fillId="7" borderId="40" applyAlignment="1" pivotButton="0" quotePrefix="0" xfId="0">
      <alignment horizontal="center" vertical="center" wrapText="1"/>
    </xf>
    <xf numFmtId="0" fontId="34" fillId="7" borderId="41" applyAlignment="1" pivotButton="0" quotePrefix="0" xfId="0">
      <alignment horizontal="center" vertical="center" wrapText="1"/>
    </xf>
    <xf numFmtId="0" fontId="35" fillId="0" borderId="13" applyAlignment="1" applyProtection="1" pivotButton="0" quotePrefix="0" xfId="0">
      <alignment horizontal="center" vertical="center" wrapText="1"/>
      <protection locked="0" hidden="0"/>
    </xf>
    <xf numFmtId="0" fontId="35" fillId="0" borderId="7" applyAlignment="1" applyProtection="1" pivotButton="0" quotePrefix="0" xfId="0">
      <alignment horizontal="general" vertical="center" wrapText="1"/>
      <protection locked="0" hidden="0"/>
    </xf>
    <xf numFmtId="0" fontId="0" fillId="0" borderId="47" applyProtection="1" pivotButton="0" quotePrefix="0" xfId="0">
      <protection locked="0" hidden="0"/>
    </xf>
    <xf numFmtId="4" fontId="35" fillId="0" borderId="6" applyAlignment="1" applyProtection="1" pivotButton="0" quotePrefix="0" xfId="0">
      <alignment horizontal="right" vertical="center" shrinkToFit="1"/>
      <protection locked="0" hidden="0"/>
    </xf>
    <xf numFmtId="1" fontId="35" fillId="0" borderId="15" applyAlignment="1" applyProtection="1" pivotButton="0" quotePrefix="0" xfId="0">
      <alignment horizontal="center" vertical="center" shrinkToFit="1"/>
      <protection locked="0" hidden="0"/>
    </xf>
    <xf numFmtId="4" fontId="35" fillId="0" borderId="25" applyAlignment="1" applyProtection="1" pivotButton="0" quotePrefix="0" xfId="0">
      <alignment horizontal="right" vertical="center" shrinkToFit="1"/>
      <protection locked="0" hidden="0"/>
    </xf>
    <xf numFmtId="0" fontId="35" fillId="0" borderId="9" applyAlignment="1" applyProtection="1" pivotButton="0" quotePrefix="0" xfId="0">
      <alignment horizontal="center" vertical="center" wrapText="1"/>
      <protection locked="0" hidden="0"/>
    </xf>
    <xf numFmtId="0" fontId="35" fillId="0" borderId="6" applyAlignment="1" applyProtection="1" pivotButton="0" quotePrefix="0" xfId="0">
      <alignment horizontal="general" vertical="center" wrapText="1"/>
      <protection locked="0" hidden="0"/>
    </xf>
    <xf numFmtId="4" fontId="32" fillId="0" borderId="6" applyAlignment="1" applyProtection="1" pivotButton="0" quotePrefix="0" xfId="0">
      <alignment horizontal="right" vertical="center" shrinkToFit="1"/>
      <protection locked="0" hidden="0"/>
    </xf>
    <xf numFmtId="1" fontId="32" fillId="0" borderId="6" applyAlignment="1" applyProtection="1" pivotButton="0" quotePrefix="0" xfId="0">
      <alignment horizontal="center" vertical="center" shrinkToFit="1"/>
      <protection locked="0" hidden="0"/>
    </xf>
    <xf numFmtId="4" fontId="32" fillId="0" borderId="25" applyAlignment="1" applyProtection="1" pivotButton="0" quotePrefix="0" xfId="0">
      <alignment horizontal="right" vertical="center" shrinkToFit="1"/>
      <protection locked="0" hidden="0"/>
    </xf>
    <xf numFmtId="0" fontId="34" fillId="0" borderId="10" applyAlignment="1" applyProtection="1" pivotButton="0" quotePrefix="0" xfId="0">
      <alignment horizontal="left" vertical="top" wrapText="1"/>
      <protection locked="0" hidden="0"/>
    </xf>
    <xf numFmtId="0" fontId="34" fillId="0" borderId="6" applyAlignment="1" applyProtection="1" pivotButton="0" quotePrefix="0" xfId="0">
      <alignment horizontal="center" vertical="center" wrapText="1"/>
      <protection locked="0" hidden="0"/>
    </xf>
    <xf numFmtId="4" fontId="33" fillId="0" borderId="8" applyAlignment="1" applyProtection="1" pivotButton="0" quotePrefix="0" xfId="0">
      <alignment horizontal="general" vertical="center" shrinkToFit="1"/>
      <protection locked="0" hidden="0"/>
    </xf>
    <xf numFmtId="0" fontId="0" fillId="0" borderId="33" applyProtection="1" pivotButton="0" quotePrefix="0" xfId="0">
      <protection locked="0" hidden="0"/>
    </xf>
    <xf numFmtId="0" fontId="0" fillId="0" borderId="73" applyProtection="1" pivotButton="0" quotePrefix="0" xfId="0">
      <protection locked="0" hidden="0"/>
    </xf>
    <xf numFmtId="0" fontId="34" fillId="0" borderId="11" applyAlignment="1" applyProtection="1" pivotButton="0" quotePrefix="0" xfId="0">
      <alignment horizontal="center" vertical="center" wrapText="1"/>
      <protection locked="0" hidden="0"/>
    </xf>
    <xf numFmtId="0" fontId="0" fillId="0" borderId="16" applyProtection="1" pivotButton="0" quotePrefix="0" xfId="0">
      <protection locked="0" hidden="0"/>
    </xf>
    <xf numFmtId="4" fontId="33" fillId="0" borderId="12" applyAlignment="1" applyProtection="1" pivotButton="0" quotePrefix="0" xfId="0">
      <alignment horizontal="general" vertical="center" shrinkToFit="1"/>
      <protection locked="0" hidden="0"/>
    </xf>
    <xf numFmtId="0" fontId="34" fillId="0" borderId="0" applyAlignment="1" applyProtection="1" pivotButton="0" quotePrefix="0" xfId="0">
      <alignment horizontal="left" vertical="center" wrapText="1"/>
      <protection locked="0" hidden="0"/>
    </xf>
    <xf numFmtId="171" fontId="32" fillId="0" borderId="0" applyAlignment="1" applyProtection="1" pivotButton="0" quotePrefix="0" xfId="0">
      <alignment horizontal="left" vertical="top"/>
      <protection locked="0" hidden="0"/>
    </xf>
    <xf numFmtId="0" fontId="36" fillId="0" borderId="34"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36" fillId="0" borderId="42" applyAlignment="1" pivotButton="0" quotePrefix="0" xfId="0">
      <alignment horizontal="center" vertical="bottom"/>
    </xf>
    <xf numFmtId="0" fontId="0" fillId="0" borderId="43" applyAlignment="1" pivotButton="0" quotePrefix="0" xfId="0">
      <alignment horizontal="general" vertical="bottom"/>
    </xf>
    <xf numFmtId="0" fontId="0" fillId="0" borderId="0" applyAlignment="1" pivotButton="0" quotePrefix="0" xfId="0">
      <alignment horizontal="center" vertical="bottom"/>
    </xf>
    <xf numFmtId="0" fontId="0" fillId="0" borderId="31" applyAlignment="1" pivotButton="0" quotePrefix="0" xfId="0">
      <alignment horizontal="general" vertical="bottom"/>
    </xf>
    <xf numFmtId="0" fontId="0" fillId="0" borderId="9" applyAlignment="1" pivotButton="0" quotePrefix="0" xfId="0">
      <alignment horizontal="center" vertical="bottom"/>
    </xf>
    <xf numFmtId="0" fontId="0" fillId="0" borderId="27" applyAlignment="1" pivotButton="0" quotePrefix="0" xfId="0">
      <alignment horizontal="general" vertical="bottom"/>
    </xf>
    <xf numFmtId="0" fontId="37"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5" pivotButton="0" quotePrefix="0" xfId="0"/>
    <xf numFmtId="0" fontId="21" fillId="0" borderId="44" applyAlignment="1" pivotButton="0" quotePrefix="0" xfId="0">
      <alignment horizontal="center" vertical="bottom"/>
    </xf>
    <xf numFmtId="0" fontId="38" fillId="0" borderId="6" applyAlignment="1" pivotButton="0" quotePrefix="0" xfId="0">
      <alignment horizontal="general" vertical="bottom"/>
    </xf>
    <xf numFmtId="0" fontId="0" fillId="2" borderId="27"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29" fillId="5" borderId="4" applyAlignment="1" pivotButton="0" quotePrefix="0" xfId="0">
      <alignment horizontal="center" vertical="center"/>
    </xf>
    <xf numFmtId="1" fontId="29" fillId="5" borderId="4" applyAlignment="1" pivotButton="0" quotePrefix="0" xfId="0">
      <alignment horizontal="center" vertical="center"/>
    </xf>
    <xf numFmtId="1" fontId="29" fillId="5" borderId="47" applyAlignment="1" pivotButton="0" quotePrefix="0" xfId="0">
      <alignment horizontal="center" vertical="bottom"/>
    </xf>
    <xf numFmtId="0" fontId="29" fillId="5" borderId="21" applyAlignment="1" pivotButton="0" quotePrefix="0" xfId="0">
      <alignment horizontal="general" vertical="bottom"/>
    </xf>
    <xf numFmtId="0" fontId="36" fillId="0" borderId="42" applyAlignment="1" pivotButton="0" quotePrefix="0" xfId="0">
      <alignment horizontal="general" vertical="bottom"/>
    </xf>
    <xf numFmtId="0" fontId="36" fillId="0" borderId="43" applyAlignment="1" pivotButton="0" quotePrefix="0" xfId="0">
      <alignment horizontal="general" vertical="bottom"/>
    </xf>
    <xf numFmtId="0" fontId="0" fillId="0" borderId="26" pivotButton="0" quotePrefix="0" xfId="0"/>
    <xf numFmtId="0" fontId="36" fillId="0" borderId="48" applyAlignment="1" pivotButton="0" quotePrefix="0" xfId="0">
      <alignment horizontal="general" vertical="bottom"/>
    </xf>
    <xf numFmtId="0" fontId="29" fillId="5" borderId="30" applyAlignment="1" pivotButton="0" quotePrefix="0" xfId="0">
      <alignment horizontal="left" vertical="bottom" wrapText="1"/>
    </xf>
    <xf numFmtId="0" fontId="0" fillId="0" borderId="32" pivotButton="0" quotePrefix="0" xfId="0"/>
    <xf numFmtId="1" fontId="29" fillId="5" borderId="14" applyAlignment="1" pivotButton="0" quotePrefix="0" xfId="0">
      <alignment horizontal="center" vertical="bottom"/>
    </xf>
    <xf numFmtId="0" fontId="29"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27" applyAlignment="1" pivotButton="0" quotePrefix="0" xfId="0">
      <alignment horizontal="center" vertical="bottom"/>
    </xf>
    <xf numFmtId="9" fontId="29" fillId="8" borderId="8" applyAlignment="1" pivotButton="0" quotePrefix="0" xfId="0">
      <alignment horizontal="center" vertical="center" wrapText="1"/>
    </xf>
    <xf numFmtId="9" fontId="0" fillId="0" borderId="0" applyAlignment="1" pivotButton="0" quotePrefix="0" xfId="0">
      <alignment horizontal="center" vertical="center"/>
    </xf>
    <xf numFmtId="1" fontId="0" fillId="0" borderId="44" applyAlignment="1" pivotButton="0" quotePrefix="0" xfId="0">
      <alignment horizontal="center" vertical="center" wrapText="1"/>
    </xf>
    <xf numFmtId="0" fontId="0" fillId="0" borderId="52" pivotButton="0" quotePrefix="0" xfId="0"/>
    <xf numFmtId="0" fontId="0" fillId="0" borderId="25" pivotButton="0" quotePrefix="0" xfId="0"/>
    <xf numFmtId="0" fontId="29" fillId="7" borderId="24" applyAlignment="1" pivotButton="0" quotePrefix="0" xfId="0">
      <alignment horizontal="left" vertical="bottom" wrapText="1"/>
    </xf>
    <xf numFmtId="1" fontId="0" fillId="0" borderId="44" applyAlignment="1" pivotButton="0" quotePrefix="0" xfId="0">
      <alignment horizontal="center" vertical="bottom"/>
    </xf>
    <xf numFmtId="0" fontId="29" fillId="0" borderId="9" applyAlignment="1" pivotButton="0" quotePrefix="0" xfId="0">
      <alignment horizontal="left" vertical="center" wrapText="1"/>
    </xf>
    <xf numFmtId="9" fontId="29" fillId="8" borderId="8" applyAlignment="1" applyProtection="1" pivotButton="0" quotePrefix="0" xfId="0">
      <alignment horizontal="center" vertical="center" wrapText="1"/>
      <protection locked="0" hidden="0"/>
    </xf>
    <xf numFmtId="0" fontId="0" fillId="0" borderId="52" applyProtection="1" pivotButton="0" quotePrefix="0" xfId="0">
      <protection locked="0" hidden="0"/>
    </xf>
    <xf numFmtId="2" fontId="0" fillId="0" borderId="27" applyAlignment="1" pivotButton="0" quotePrefix="0" xfId="0">
      <alignment horizontal="left" vertical="bottom" wrapText="1"/>
    </xf>
    <xf numFmtId="2" fontId="0" fillId="0" borderId="27"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39" fillId="0" borderId="49"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0" applyAlignment="1" pivotButton="0" quotePrefix="0" xfId="0">
      <alignment horizontal="center" vertical="bottom"/>
    </xf>
    <xf numFmtId="0" fontId="40" fillId="9" borderId="51" applyAlignment="1" pivotButton="0" quotePrefix="0" xfId="0">
      <alignment horizontal="general" vertical="center"/>
    </xf>
    <xf numFmtId="0" fontId="0" fillId="0" borderId="74" pivotButton="0" quotePrefix="0" xfId="0"/>
    <xf numFmtId="0" fontId="40" fillId="9" borderId="52" applyAlignment="1" pivotButton="0" quotePrefix="0" xfId="0">
      <alignment horizontal="center" vertical="center"/>
    </xf>
    <xf numFmtId="2" fontId="29" fillId="9" borderId="4" applyAlignment="1" pivotButton="0" quotePrefix="0" xfId="0">
      <alignment horizontal="center" vertical="center"/>
    </xf>
    <xf numFmtId="0" fontId="29" fillId="9"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29" fillId="0" borderId="42" applyAlignment="1" pivotButton="0" quotePrefix="0" xfId="0">
      <alignment horizontal="center" vertical="center"/>
    </xf>
    <xf numFmtId="2" fontId="29" fillId="0" borderId="6" applyAlignment="1" pivotButton="0" quotePrefix="0" xfId="0">
      <alignment horizontal="center" vertical="center" wrapText="1"/>
    </xf>
    <xf numFmtId="169" fontId="41" fillId="0" borderId="25" applyAlignment="1" applyProtection="1" pivotButton="0" quotePrefix="0" xfId="0">
      <alignment horizontal="center" vertical="center"/>
      <protection locked="0" hidden="0"/>
    </xf>
    <xf numFmtId="0" fontId="0" fillId="0" borderId="42" pivotButton="0" quotePrefix="0" xfId="0"/>
    <xf numFmtId="0" fontId="0" fillId="0" borderId="15" pivotButton="0" quotePrefix="0" xfId="0"/>
    <xf numFmtId="0" fontId="0" fillId="0" borderId="12" applyAlignment="1" pivotButton="0" quotePrefix="0" xfId="0">
      <alignment horizontal="center" vertical="bottom"/>
    </xf>
    <xf numFmtId="0" fontId="0" fillId="0" borderId="79" pivotButton="0" quotePrefix="0" xfId="0"/>
    <xf numFmtId="2" fontId="29" fillId="0" borderId="9" applyAlignment="1" pivotButton="0" quotePrefix="0" xfId="0">
      <alignment horizontal="center" vertical="center" wrapText="1"/>
    </xf>
    <xf numFmtId="0" fontId="0" fillId="0" borderId="73" pivotButton="0" quotePrefix="0" xfId="0"/>
    <xf numFmtId="0" fontId="0" fillId="0" borderId="39" pivotButton="0" quotePrefix="0" xfId="0"/>
    <xf numFmtId="0" fontId="0" fillId="0" borderId="0" applyAlignment="1" pivotButton="0" quotePrefix="0" xfId="0">
      <alignment horizontal="general" vertical="bottom" wrapText="1"/>
    </xf>
    <xf numFmtId="2" fontId="29" fillId="0" borderId="28" applyAlignment="1" pivotButton="0" quotePrefix="0" xfId="0">
      <alignment horizontal="general" vertical="center"/>
    </xf>
    <xf numFmtId="2" fontId="29" fillId="0" borderId="0" applyAlignment="1" pivotButton="0" quotePrefix="0" xfId="0">
      <alignment horizontal="general" vertical="center"/>
    </xf>
    <xf numFmtId="0" fontId="42" fillId="0" borderId="0" applyAlignment="1" pivotButton="0" quotePrefix="0" xfId="0">
      <alignment horizontal="general" vertical="center"/>
    </xf>
    <xf numFmtId="0" fontId="43" fillId="0" borderId="0" applyAlignment="1" pivotButton="0" quotePrefix="0" xfId="0">
      <alignment horizontal="center" vertical="center"/>
    </xf>
    <xf numFmtId="0" fontId="43" fillId="0" borderId="0" applyAlignment="1" pivotButton="0" quotePrefix="0" xfId="0">
      <alignment horizontal="general" vertical="center"/>
    </xf>
    <xf numFmtId="0" fontId="42" fillId="0" borderId="6" applyAlignment="1" pivotButton="0" quotePrefix="0" xfId="0">
      <alignment horizontal="general" vertical="center"/>
    </xf>
    <xf numFmtId="0" fontId="44" fillId="0" borderId="6" applyAlignment="1" pivotButton="0" quotePrefix="0" xfId="0">
      <alignment horizontal="center" vertical="center"/>
    </xf>
    <xf numFmtId="0" fontId="43"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45" fillId="10" borderId="53" applyAlignment="1" pivotButton="0" quotePrefix="0" xfId="0">
      <alignment horizontal="left" vertical="center" indent="1"/>
    </xf>
    <xf numFmtId="166" fontId="30" fillId="0" borderId="54"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4" applyProtection="1" pivotButton="0" quotePrefix="0" xfId="0">
      <protection locked="0" hidden="0"/>
    </xf>
    <xf numFmtId="0" fontId="0" fillId="0" borderId="0" applyAlignment="1" pivotButton="0" quotePrefix="0" xfId="0">
      <alignment horizontal="left" vertical="center"/>
    </xf>
    <xf numFmtId="0" fontId="45" fillId="10" borderId="0" applyAlignment="1" pivotButton="0" quotePrefix="0" xfId="0">
      <alignment horizontal="left" vertical="center" indent="1"/>
    </xf>
    <xf numFmtId="0" fontId="30" fillId="0" borderId="55"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5" applyProtection="1" pivotButton="0" quotePrefix="0" xfId="0">
      <protection locked="0" hidden="0"/>
    </xf>
    <xf numFmtId="0" fontId="0" fillId="0" borderId="0" applyAlignment="1" applyProtection="1" pivotButton="0" quotePrefix="0" xfId="0">
      <alignment horizontal="left" vertical="center"/>
      <protection locked="0" hidden="0"/>
    </xf>
    <xf numFmtId="0" fontId="45" fillId="10" borderId="56" applyAlignment="1" pivotButton="0" quotePrefix="0" xfId="0">
      <alignment horizontal="left" vertical="center" indent="1"/>
    </xf>
    <xf numFmtId="0" fontId="30" fillId="0" borderId="57"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7" applyProtection="1" pivotButton="0" quotePrefix="0" xfId="0">
      <protection locked="0" hidden="0"/>
    </xf>
    <xf numFmtId="0" fontId="46" fillId="0" borderId="0" applyAlignment="1" pivotButton="0" quotePrefix="0" xfId="0">
      <alignment horizontal="right" vertical="bottom"/>
    </xf>
    <xf numFmtId="0" fontId="47" fillId="10" borderId="58" applyAlignment="1" pivotButton="0" quotePrefix="0" xfId="0">
      <alignment horizontal="left" vertical="center" wrapText="1" indent="1"/>
    </xf>
    <xf numFmtId="0" fontId="45" fillId="6" borderId="59" applyAlignment="1" pivotButton="0" quotePrefix="0" xfId="0">
      <alignment horizontal="center" vertical="center"/>
    </xf>
    <xf numFmtId="0" fontId="0" fillId="0" borderId="96" pivotButton="0" quotePrefix="0" xfId="0"/>
    <xf numFmtId="0" fontId="45" fillId="11" borderId="59" applyAlignment="1" pivotButton="0" quotePrefix="0" xfId="0">
      <alignment horizontal="center" vertical="center"/>
    </xf>
    <xf numFmtId="0" fontId="48" fillId="12" borderId="59" applyAlignment="1" pivotButton="0" quotePrefix="0" xfId="0">
      <alignment horizontal="center" vertical="center"/>
    </xf>
    <xf numFmtId="0" fontId="48" fillId="13" borderId="59" applyAlignment="1" pivotButton="0" quotePrefix="0" xfId="0">
      <alignment horizontal="center" vertical="center"/>
    </xf>
    <xf numFmtId="0" fontId="48" fillId="14" borderId="59" applyAlignment="1" pivotButton="0" quotePrefix="0" xfId="0">
      <alignment horizontal="center" vertical="center"/>
    </xf>
    <xf numFmtId="0" fontId="45" fillId="15" borderId="60" applyAlignment="1" pivotButton="0" quotePrefix="0" xfId="0">
      <alignment horizontal="center" vertical="center"/>
    </xf>
    <xf numFmtId="0" fontId="0" fillId="0" borderId="97" pivotButton="0" quotePrefix="0" xfId="0"/>
    <xf numFmtId="0" fontId="0" fillId="0" borderId="93" pivotButton="0" quotePrefix="0" xfId="0"/>
    <xf numFmtId="0" fontId="49" fillId="0" borderId="61" applyAlignment="1" applyProtection="1" pivotButton="0" quotePrefix="0" xfId="0">
      <alignment horizontal="center" vertical="center"/>
      <protection locked="0" hidden="0"/>
    </xf>
    <xf numFmtId="0" fontId="0" fillId="0" borderId="100" applyProtection="1" pivotButton="0" quotePrefix="0" xfId="0">
      <protection locked="0" hidden="0"/>
    </xf>
    <xf numFmtId="0" fontId="49" fillId="0" borderId="62" applyAlignment="1" applyProtection="1" pivotButton="0" quotePrefix="0" xfId="0">
      <alignment horizontal="center" vertical="center"/>
      <protection locked="0" hidden="0"/>
    </xf>
    <xf numFmtId="0" fontId="0" fillId="0" borderId="102" applyProtection="1" pivotButton="0" quotePrefix="0" xfId="0">
      <protection locked="0" hidden="0"/>
    </xf>
    <xf numFmtId="0" fontId="50" fillId="8" borderId="63" applyAlignment="1" pivotButton="0" quotePrefix="0" xfId="0">
      <alignment horizontal="center" vertical="bottom"/>
    </xf>
    <xf numFmtId="0" fontId="0" fillId="0" borderId="104" pivotButton="0" quotePrefix="0" xfId="0"/>
    <xf numFmtId="0" fontId="50" fillId="8" borderId="64" applyAlignment="1" pivotButton="0" quotePrefix="0" xfId="0">
      <alignment horizontal="center" vertical="bottom"/>
    </xf>
    <xf numFmtId="0" fontId="0" fillId="0" borderId="105" pivotButton="0" quotePrefix="0" xfId="0"/>
    <xf numFmtId="0" fontId="0" fillId="0" borderId="94" pivotButton="0" quotePrefix="0" xfId="0"/>
    <xf numFmtId="0" fontId="51" fillId="8" borderId="65" applyAlignment="1" pivotButton="0" quotePrefix="0" xfId="0">
      <alignment horizontal="center" vertical="top" wrapText="1"/>
    </xf>
    <xf numFmtId="0" fontId="46" fillId="8" borderId="65" applyAlignment="1" pivotButton="0" quotePrefix="0" xfId="0">
      <alignment horizontal="center" vertical="top" wrapText="1"/>
    </xf>
    <xf numFmtId="0" fontId="46" fillId="8" borderId="66" applyAlignment="1" pivotButton="0" quotePrefix="0" xfId="0">
      <alignment horizontal="center" vertical="top" wrapText="1"/>
    </xf>
    <xf numFmtId="0" fontId="0" fillId="0" borderId="107" pivotButton="0" quotePrefix="0" xfId="0"/>
    <xf numFmtId="0" fontId="42" fillId="0" borderId="0" applyAlignment="1" pivotButton="0" quotePrefix="0" xfId="0">
      <alignment horizontal="left" vertical="center" indent="1"/>
    </xf>
    <xf numFmtId="0" fontId="43" fillId="0" borderId="0" applyAlignment="1" pivotButton="0" quotePrefix="0" xfId="0">
      <alignment horizontal="center" vertical="center" wrapText="1"/>
    </xf>
    <xf numFmtId="0" fontId="52" fillId="0" borderId="61" applyAlignment="1" applyProtection="1" pivotButton="0" quotePrefix="0" xfId="0">
      <alignment horizontal="center" vertical="center"/>
      <protection locked="0" hidden="0"/>
    </xf>
    <xf numFmtId="0" fontId="52" fillId="0" borderId="62"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47" fillId="10" borderId="67" applyAlignment="1" pivotButton="0" quotePrefix="0" xfId="0">
      <alignment horizontal="left" vertical="center" wrapText="1" indent="1"/>
    </xf>
    <xf numFmtId="0" fontId="53" fillId="10" borderId="68" applyAlignment="1" pivotButton="0" quotePrefix="0" xfId="0">
      <alignment horizontal="center" vertical="center"/>
    </xf>
    <xf numFmtId="0" fontId="53" fillId="10" borderId="69" applyAlignment="1" pivotButton="0" quotePrefix="0" xfId="0">
      <alignment horizontal="center" vertical="center"/>
    </xf>
    <xf numFmtId="0" fontId="30" fillId="0" borderId="66"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6" pivotButton="0" quotePrefix="0" xfId="0"/>
    <xf numFmtId="0" fontId="0" fillId="0" borderId="109" applyProtection="1" pivotButton="0" quotePrefix="0" xfId="0">
      <protection locked="0" hidden="0"/>
    </xf>
    <xf numFmtId="0" fontId="0" fillId="0" borderId="56" applyProtection="1" pivotButton="0" quotePrefix="0" xfId="0">
      <protection locked="0" hidden="0"/>
    </xf>
    <xf numFmtId="0" fontId="0" fillId="0" borderId="107" applyProtection="1" pivotButton="0" quotePrefix="0" xfId="0">
      <protection locked="0" hidden="0"/>
    </xf>
    <xf numFmtId="0" fontId="54" fillId="0" borderId="0" applyAlignment="1" pivotButton="0" quotePrefix="0" xfId="0">
      <alignment horizontal="general" vertical="center"/>
    </xf>
    <xf numFmtId="0" fontId="35" fillId="0" borderId="0" applyAlignment="1" pivotButton="0" quotePrefix="0" xfId="0">
      <alignment horizontal="general" vertical="center"/>
    </xf>
    <xf numFmtId="0" fontId="54" fillId="0" borderId="0" applyAlignment="1" pivotButton="0" quotePrefix="0" xfId="0">
      <alignment horizontal="center" vertical="center"/>
    </xf>
    <xf numFmtId="0" fontId="55" fillId="0" borderId="0" applyAlignment="1" pivotButton="0" quotePrefix="0" xfId="0">
      <alignment horizontal="left" vertical="center" wrapText="1"/>
    </xf>
    <xf numFmtId="0" fontId="30" fillId="0" borderId="43" applyAlignment="1" pivotButton="0" quotePrefix="0" xfId="0">
      <alignment horizontal="left" vertical="center"/>
    </xf>
    <xf numFmtId="0" fontId="54" fillId="0" borderId="0" applyAlignment="1" applyProtection="1" pivotButton="0" quotePrefix="0" xfId="0">
      <alignment horizontal="general" vertical="center"/>
      <protection locked="0" hidden="0"/>
    </xf>
    <xf numFmtId="0" fontId="30" fillId="0" borderId="70" applyAlignment="1" pivotButton="0" quotePrefix="0" xfId="0">
      <alignment horizontal="left" vertical="center"/>
    </xf>
    <xf numFmtId="0" fontId="30" fillId="0" borderId="70" applyAlignment="1" pivotButton="0" quotePrefix="0" xfId="0">
      <alignment horizontal="center" vertical="center"/>
    </xf>
    <xf numFmtId="0" fontId="30" fillId="0" borderId="0" applyAlignment="1" pivotButton="0" quotePrefix="0" xfId="0">
      <alignment horizontal="center" vertical="center"/>
    </xf>
    <xf numFmtId="0" fontId="30" fillId="0" borderId="0" applyAlignment="1" pivotButton="0" quotePrefix="0" xfId="0">
      <alignment horizontal="general" vertical="center"/>
    </xf>
    <xf numFmtId="0" fontId="56" fillId="0" borderId="0" applyAlignment="1" pivotButton="0" quotePrefix="0" xfId="0">
      <alignment horizontal="general" vertical="center" wrapText="1"/>
    </xf>
    <xf numFmtId="0" fontId="57" fillId="0" borderId="0" applyAlignment="1" pivotButton="0" quotePrefix="0" xfId="0">
      <alignment horizontal="center" vertical="bottom" wrapText="1"/>
    </xf>
    <xf numFmtId="0" fontId="0" fillId="0" borderId="0" applyAlignment="1" applyProtection="1" pivotButton="0" quotePrefix="0" xfId="0">
      <alignment horizontal="general" vertical="bottom"/>
      <protection locked="1" hidden="1"/>
    </xf>
    <xf numFmtId="0" fontId="0" fillId="0" borderId="6" applyAlignment="1" applyProtection="1" pivotButton="0" quotePrefix="0" xfId="0">
      <alignment horizontal="center" vertical="center" textRotation="45"/>
      <protection locked="1" hidden="1"/>
    </xf>
    <xf numFmtId="0" fontId="58" fillId="0" borderId="27" applyAlignment="1" applyProtection="1" pivotButton="0" quotePrefix="0" xfId="0">
      <alignment horizontal="center" vertical="center"/>
      <protection locked="1" hidden="1"/>
    </xf>
    <xf numFmtId="0" fontId="0" fillId="0" borderId="71" applyProtection="1" pivotButton="0" quotePrefix="0" xfId="0">
      <protection locked="1" hidden="1"/>
    </xf>
    <xf numFmtId="0" fontId="58" fillId="0" borderId="6" applyAlignment="1" applyProtection="1" pivotButton="0" quotePrefix="0" xfId="0">
      <alignment horizontal="center" vertical="center"/>
      <protection locked="1" hidden="1"/>
    </xf>
    <xf numFmtId="0" fontId="0" fillId="0" borderId="70"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59" fillId="0" borderId="6" applyAlignment="1" applyProtection="1" pivotButton="0" quotePrefix="0" xfId="0">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0" fillId="0" borderId="6" applyAlignment="1" applyProtection="1" pivotButton="0" quotePrefix="0" xfId="0">
      <alignment horizontal="center" vertical="center"/>
      <protection locked="1" hidden="1"/>
    </xf>
    <xf numFmtId="0" fontId="61" fillId="0" borderId="6" applyAlignment="1" applyProtection="1" pivotButton="0" quotePrefix="0" xfId="0">
      <alignment horizontal="center" vertical="center"/>
      <protection locked="1" hidden="1"/>
    </xf>
    <xf numFmtId="168" fontId="61" fillId="0" borderId="6" applyAlignment="1" applyProtection="1" pivotButton="0" quotePrefix="0" xfId="0">
      <alignment horizontal="center" vertical="center"/>
      <protection locked="1" hidden="1"/>
    </xf>
    <xf numFmtId="0" fontId="29" fillId="5" borderId="6" applyAlignment="1" applyProtection="1" pivotButton="0" quotePrefix="0" xfId="0">
      <alignment horizontal="general" vertical="center"/>
      <protection locked="1" hidden="1"/>
    </xf>
    <xf numFmtId="0" fontId="49" fillId="2" borderId="6" applyAlignment="1" applyProtection="1" pivotButton="0" quotePrefix="0" xfId="0">
      <alignment horizontal="center" vertical="center"/>
      <protection locked="1" hidden="1"/>
    </xf>
    <xf numFmtId="0" fontId="22" fillId="5" borderId="6" applyAlignment="1" applyProtection="1" pivotButton="0" quotePrefix="0" xfId="0">
      <alignment horizontal="center" vertical="center"/>
      <protection locked="1" hidden="1"/>
    </xf>
    <xf numFmtId="0" fontId="50" fillId="2" borderId="27" applyAlignment="1" applyProtection="1" pivotButton="0" quotePrefix="0" xfId="0">
      <alignment horizontal="center" vertical="center"/>
      <protection locked="1" hidden="1"/>
    </xf>
    <xf numFmtId="0" fontId="50" fillId="2" borderId="44" applyAlignment="1" applyProtection="1" pivotButton="0" quotePrefix="0" xfId="0">
      <alignment horizontal="center" vertical="center"/>
      <protection locked="1" hidden="1"/>
    </xf>
    <xf numFmtId="0" fontId="0" fillId="0" borderId="15" applyProtection="1" pivotButton="0" quotePrefix="0" xfId="0">
      <protection locked="1" hidden="1"/>
    </xf>
    <xf numFmtId="0" fontId="62" fillId="2" borderId="27" applyAlignment="1" applyProtection="1" pivotButton="0" quotePrefix="0" xfId="0">
      <alignment horizontal="center" vertical="center"/>
      <protection locked="1" hidden="1"/>
    </xf>
    <xf numFmtId="166" fontId="62" fillId="2" borderId="71" applyAlignment="1" applyProtection="1" pivotButton="0" quotePrefix="0" xfId="0">
      <alignment horizontal="center" vertical="center"/>
      <protection locked="1" hidden="1"/>
    </xf>
    <xf numFmtId="0" fontId="62" fillId="2" borderId="71" applyAlignment="1" applyProtection="1" pivotButton="0" quotePrefix="0" xfId="0">
      <alignment horizontal="general" vertical="center"/>
      <protection locked="1" hidden="1"/>
    </xf>
    <xf numFmtId="166" fontId="62" fillId="2" borderId="44" applyAlignment="1" applyProtection="1" pivotButton="0" quotePrefix="0" xfId="0">
      <alignment horizontal="center" vertical="center"/>
      <protection locked="1" hidden="1"/>
    </xf>
    <xf numFmtId="0" fontId="0" fillId="0" borderId="110" applyProtection="1" pivotButton="0" quotePrefix="0" xfId="0">
      <protection locked="1" hidden="1"/>
    </xf>
    <xf numFmtId="0" fontId="0" fillId="0" borderId="43" applyProtection="1" pivotButton="0" quotePrefix="0" xfId="0">
      <protection locked="1" hidden="1"/>
    </xf>
    <xf numFmtId="0" fontId="0" fillId="0" borderId="14" applyProtection="1" pivotButton="0" quotePrefix="0" xfId="0">
      <protection locked="1" hidden="1"/>
    </xf>
    <xf numFmtId="0" fontId="34" fillId="2" borderId="6" applyAlignment="1" applyProtection="1" pivotButton="0" quotePrefix="0" xfId="0">
      <alignment horizontal="center" vertical="center"/>
      <protection locked="1" hidden="1"/>
    </xf>
    <xf numFmtId="173" fontId="63" fillId="2" borderId="6" applyAlignment="1" applyProtection="1" pivotButton="0" quotePrefix="0" xfId="0">
      <alignment horizontal="center" vertical="center"/>
      <protection locked="1" hidden="1"/>
    </xf>
    <xf numFmtId="0" fontId="39" fillId="2" borderId="6" applyAlignment="1" applyProtection="1" pivotButton="0" quotePrefix="0" xfId="0">
      <alignment horizontal="center" vertical="center" wrapText="1"/>
      <protection locked="1" hidden="1"/>
    </xf>
    <xf numFmtId="0" fontId="0" fillId="0" borderId="44" applyAlignment="1" pivotButton="0" quotePrefix="0" xfId="0">
      <alignment horizontal="general" vertical="bottom"/>
    </xf>
    <xf numFmtId="173" fontId="64" fillId="5" borderId="6" applyAlignment="1" applyProtection="1" pivotButton="0" quotePrefix="0" xfId="0">
      <alignment horizontal="center" vertical="center"/>
      <protection locked="1" hidden="1"/>
    </xf>
    <xf numFmtId="0" fontId="39" fillId="5" borderId="6" applyAlignment="1" applyProtection="1" pivotButton="0" quotePrefix="0" xfId="0">
      <alignment horizontal="center" vertical="center" wrapText="1"/>
      <protection locked="1" hidden="1"/>
    </xf>
    <xf numFmtId="49" fontId="29" fillId="0" borderId="0" applyAlignment="1" applyProtection="1" pivotButton="0" quotePrefix="0" xfId="0">
      <alignment horizontal="general" vertical="bottom"/>
      <protection locked="1" hidden="1"/>
    </xf>
    <xf numFmtId="0" fontId="29" fillId="5" borderId="6" applyAlignment="1" applyProtection="1" pivotButton="0" quotePrefix="0" xfId="0">
      <alignment horizontal="center" vertical="center"/>
      <protection locked="1" hidden="1"/>
    </xf>
    <xf numFmtId="173" fontId="65" fillId="8" borderId="6" applyAlignment="1" applyProtection="1" pivotButton="0" quotePrefix="0" xfId="0">
      <alignment horizontal="center" vertical="center" textRotation="90"/>
      <protection locked="1" hidden="1"/>
    </xf>
    <xf numFmtId="0" fontId="29" fillId="5" borderId="15" applyAlignment="1" applyProtection="1" pivotButton="0" quotePrefix="0" xfId="0">
      <alignment horizontal="center" vertical="center" wrapText="1"/>
      <protection locked="1" hidden="1"/>
    </xf>
    <xf numFmtId="0" fontId="0" fillId="0" borderId="0" applyAlignment="1" applyProtection="1" pivotButton="0" quotePrefix="0" xfId="0">
      <alignment horizontal="general" vertical="center"/>
      <protection locked="1" hidden="1"/>
    </xf>
    <xf numFmtId="0" fontId="40" fillId="0" borderId="6" applyAlignment="1" applyProtection="1" pivotButton="0" quotePrefix="0" xfId="0">
      <alignment horizontal="center" vertical="center"/>
      <protection locked="1" hidden="1"/>
    </xf>
    <xf numFmtId="0" fontId="29" fillId="0" borderId="6" applyAlignment="1" applyProtection="1" pivotButton="0" quotePrefix="0" xfId="0">
      <alignment horizontal="center" vertical="center"/>
      <protection locked="0" hidden="0"/>
    </xf>
    <xf numFmtId="0" fontId="22" fillId="0" borderId="6" applyAlignment="1" applyProtection="1" pivotButton="0" quotePrefix="0" xfId="0">
      <alignment horizontal="center" vertical="center"/>
      <protection locked="1" hidden="1"/>
    </xf>
    <xf numFmtId="0" fontId="66" fillId="0" borderId="6" applyAlignment="1" applyProtection="1" pivotButton="0" quotePrefix="0" xfId="0">
      <alignment horizontal="center" vertical="center"/>
      <protection locked="0" hidden="0"/>
    </xf>
    <xf numFmtId="0" fontId="29" fillId="5" borderId="6" applyAlignment="1" applyProtection="1" pivotButton="0" quotePrefix="0" xfId="0">
      <alignment horizontal="general" vertical="center"/>
      <protection locked="0" hidden="0"/>
    </xf>
    <xf numFmtId="0" fontId="40" fillId="5" borderId="6" applyAlignment="1" applyProtection="1" pivotButton="0" quotePrefix="0" xfId="0">
      <alignment horizontal="center" vertical="center"/>
      <protection locked="1" hidden="1"/>
    </xf>
    <xf numFmtId="49" fontId="22" fillId="0" borderId="6" applyAlignment="1" applyProtection="1" pivotButton="0" quotePrefix="0" xfId="0">
      <alignment horizontal="center" vertical="bottom"/>
      <protection locked="0" hidden="0"/>
    </xf>
    <xf numFmtId="0" fontId="29" fillId="0" borderId="15" applyAlignment="1" applyProtection="1" pivotButton="0" quotePrefix="0" xfId="0">
      <alignment horizontal="center" vertical="bottom"/>
      <protection locked="0" hidden="0"/>
    </xf>
    <xf numFmtId="0" fontId="29" fillId="0" borderId="6" applyAlignment="1" applyProtection="1" pivotButton="0" quotePrefix="0" xfId="0">
      <alignment horizontal="center" vertical="bottom"/>
      <protection locked="0" hidden="0"/>
    </xf>
    <xf numFmtId="49" fontId="0" fillId="0" borderId="6" applyAlignment="1" applyProtection="1" pivotButton="0" quotePrefix="0" xfId="0">
      <alignment horizontal="center" vertical="bottom"/>
      <protection locked="0" hidden="0"/>
    </xf>
    <xf numFmtId="0" fontId="40" fillId="2" borderId="6" applyAlignment="1" applyProtection="1" pivotButton="0" quotePrefix="0" xfId="0">
      <alignment horizontal="center" vertical="bottom"/>
      <protection locked="1" hidden="1"/>
    </xf>
    <xf numFmtId="0" fontId="0" fillId="2" borderId="6" applyAlignment="1" applyProtection="1" pivotButton="0" quotePrefix="0" xfId="0">
      <alignment horizontal="center" vertical="bottom"/>
      <protection locked="1" hidden="1"/>
    </xf>
    <xf numFmtId="0" fontId="29" fillId="0" borderId="6" applyAlignment="1" applyProtection="1" pivotButton="0" quotePrefix="0" xfId="0">
      <alignment horizontal="general" vertical="bottom"/>
      <protection locked="1" hidden="1"/>
    </xf>
    <xf numFmtId="0" fontId="29" fillId="0" borderId="6" applyAlignment="1" applyProtection="1" pivotButton="0" quotePrefix="0" xfId="0">
      <alignment horizontal="center" vertical="top" wrapText="1"/>
      <protection locked="1" hidden="1"/>
    </xf>
    <xf numFmtId="0" fontId="29" fillId="0" borderId="6" applyAlignment="1" applyProtection="1" pivotButton="0" quotePrefix="0" xfId="0">
      <alignment horizontal="center" vertical="bottom"/>
      <protection locked="1" hidden="1"/>
    </xf>
    <xf numFmtId="0" fontId="67" fillId="0" borderId="6" applyAlignment="1" applyProtection="1" pivotButton="0" quotePrefix="0" xfId="0">
      <alignment horizontal="left" vertical="top"/>
      <protection locked="1" hidden="1"/>
    </xf>
    <xf numFmtId="166" fontId="29" fillId="0" borderId="6" applyAlignment="1" applyProtection="1" pivotButton="0" quotePrefix="0" xfId="0">
      <alignment horizontal="center" vertical="top" wrapText="1"/>
      <protection locked="0" hidden="0"/>
    </xf>
    <xf numFmtId="174" fontId="0" fillId="0" borderId="0" applyAlignment="1" pivotButton="0" quotePrefix="0" xfId="0">
      <alignment horizontal="general" vertical="bottom"/>
    </xf>
    <xf numFmtId="0" fontId="68" fillId="0" borderId="4" applyAlignment="1" pivotButton="0" quotePrefix="0" xfId="0">
      <alignment horizontal="center" vertical="center" wrapText="1"/>
    </xf>
    <xf numFmtId="0" fontId="69" fillId="0" borderId="4" applyAlignment="1" pivotButton="0" quotePrefix="0" xfId="0">
      <alignment horizontal="center" vertical="center" wrapText="1"/>
    </xf>
    <xf numFmtId="0" fontId="70" fillId="0" borderId="4" applyAlignment="1" pivotButton="0" quotePrefix="0" xfId="0">
      <alignment horizontal="center" vertical="center" wrapText="1"/>
    </xf>
    <xf numFmtId="0" fontId="71" fillId="0" borderId="4" applyAlignment="1" pivotButton="0" quotePrefix="0" xfId="0">
      <alignment horizontal="center" vertical="center" wrapText="1"/>
    </xf>
    <xf numFmtId="0" fontId="72" fillId="0" borderId="4" applyAlignment="1" pivotButton="0" quotePrefix="0" xfId="0">
      <alignment horizontal="center" vertical="center" wrapText="1"/>
    </xf>
    <xf numFmtId="0" fontId="39"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39" fillId="0" borderId="4" applyAlignment="1" pivotButton="0" quotePrefix="0" xfId="0">
      <alignment horizontal="center" vertical="center"/>
    </xf>
    <xf numFmtId="0" fontId="73"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2" applyProtection="1" pivotButton="0" quotePrefix="0" xfId="0">
      <protection locked="0" hidden="0"/>
    </xf>
    <xf numFmtId="0" fontId="0" fillId="0" borderId="37" applyProtection="1" pivotButton="0" quotePrefix="0" xfId="0">
      <protection locked="0" hidden="0"/>
    </xf>
    <xf numFmtId="0" fontId="74"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75"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4"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39"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76"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77" fillId="0" borderId="0" applyAlignment="1" pivotButton="0" quotePrefix="0" xfId="0">
      <alignment horizontal="center" vertical="center"/>
    </xf>
    <xf numFmtId="0" fontId="77" fillId="0" borderId="0" applyAlignment="1" pivotButton="0" quotePrefix="0" xfId="0">
      <alignment horizontal="center" vertical="bottom"/>
    </xf>
    <xf numFmtId="0" fontId="78" fillId="0" borderId="0" applyAlignment="1" pivotButton="0" quotePrefix="0" xfId="0">
      <alignment horizontal="center" vertical="top" wrapText="1"/>
    </xf>
    <xf numFmtId="0" fontId="5" fillId="2" borderId="0" applyAlignment="1" pivotButton="0" quotePrefix="0" xfId="0">
      <alignment horizontal="general" vertical="bottom"/>
    </xf>
    <xf numFmtId="0" fontId="79" fillId="2" borderId="0" applyAlignment="1" pivotButton="0" quotePrefix="0" xfId="0">
      <alignment horizontal="general" vertical="bottom"/>
    </xf>
    <xf numFmtId="0" fontId="5" fillId="2" borderId="34" applyAlignment="1" pivotButton="0" quotePrefix="0" xfId="0">
      <alignment horizontal="general" vertical="bottom"/>
    </xf>
    <xf numFmtId="0" fontId="79" fillId="2" borderId="28" applyAlignment="1" pivotButton="0" quotePrefix="0" xfId="0">
      <alignment horizontal="general" vertical="bottom"/>
    </xf>
    <xf numFmtId="0" fontId="5" fillId="2" borderId="28" applyAlignment="1" pivotButton="0" quotePrefix="0" xfId="0">
      <alignment horizontal="general" vertical="bottom"/>
    </xf>
    <xf numFmtId="0" fontId="5" fillId="2" borderId="29" applyAlignment="1" pivotButton="0" quotePrefix="0" xfId="0">
      <alignment horizontal="general" vertical="bottom"/>
    </xf>
    <xf numFmtId="0" fontId="5" fillId="2" borderId="35" applyAlignment="1" pivotButton="0" quotePrefix="0" xfId="0">
      <alignment horizontal="general" vertical="bottom"/>
    </xf>
    <xf numFmtId="0" fontId="5" fillId="2" borderId="31" applyAlignment="1" pivotButton="0" quotePrefix="0" xfId="0">
      <alignment horizontal="general" vertical="bottom"/>
    </xf>
    <xf numFmtId="0" fontId="80" fillId="2" borderId="0" applyAlignment="1" pivotButton="0" quotePrefix="0" xfId="0">
      <alignment horizontal="center" vertical="center"/>
    </xf>
    <xf numFmtId="0" fontId="81" fillId="2" borderId="0" applyAlignment="1" pivotButton="0" quotePrefix="0" xfId="0">
      <alignment horizontal="center" vertical="center"/>
    </xf>
    <xf numFmtId="0" fontId="82" fillId="2" borderId="31" applyAlignment="1" pivotButton="0" quotePrefix="0" xfId="0">
      <alignment horizontal="general" vertical="center"/>
    </xf>
    <xf numFmtId="0" fontId="82" fillId="2" borderId="0" applyAlignment="1" pivotButton="0" quotePrefix="0" xfId="0">
      <alignment horizontal="general" vertical="center"/>
    </xf>
    <xf numFmtId="0" fontId="83" fillId="2" borderId="0" applyAlignment="1" pivotButton="0" quotePrefix="0" xfId="0">
      <alignment horizontal="center" vertical="center"/>
    </xf>
    <xf numFmtId="0" fontId="84" fillId="2" borderId="0" applyAlignment="1" pivotButton="0" quotePrefix="0" xfId="0">
      <alignment horizontal="general" vertical="bottom"/>
    </xf>
    <xf numFmtId="0" fontId="85" fillId="2" borderId="0" applyAlignment="1" pivotButton="0" quotePrefix="0" xfId="0">
      <alignment horizontal="general" vertical="bottom"/>
    </xf>
    <xf numFmtId="0" fontId="86" fillId="2" borderId="0" applyAlignment="1" pivotButton="0" quotePrefix="0" xfId="0">
      <alignment horizontal="general" vertical="bottom"/>
    </xf>
    <xf numFmtId="0" fontId="86" fillId="2" borderId="31" applyAlignment="1" pivotButton="0" quotePrefix="0" xfId="0">
      <alignment horizontal="general" vertical="bottom"/>
    </xf>
    <xf numFmtId="0" fontId="87" fillId="2" borderId="0" applyAlignment="1" pivotButton="0" quotePrefix="0" xfId="0">
      <alignment horizontal="right" vertical="center"/>
    </xf>
    <xf numFmtId="0" fontId="85" fillId="2" borderId="0" applyAlignment="1" pivotButton="0" quotePrefix="0" xfId="0">
      <alignment horizontal="general" vertical="center"/>
    </xf>
    <xf numFmtId="168" fontId="86" fillId="2" borderId="0" applyAlignment="1" pivotButton="0" quotePrefix="0" xfId="0">
      <alignment horizontal="left" vertical="center"/>
    </xf>
    <xf numFmtId="0" fontId="87" fillId="2" borderId="0" applyAlignment="1" pivotButton="0" quotePrefix="0" xfId="0">
      <alignment horizontal="general" vertical="bottom"/>
    </xf>
    <xf numFmtId="0" fontId="87" fillId="2" borderId="0" applyAlignment="1" pivotButton="0" quotePrefix="0" xfId="0">
      <alignment horizontal="right" vertical="top"/>
    </xf>
    <xf numFmtId="168" fontId="88" fillId="2" borderId="0" applyAlignment="1" pivotButton="0" quotePrefix="0" xfId="0">
      <alignment horizontal="left" vertical="top" wrapText="1"/>
    </xf>
    <xf numFmtId="0" fontId="86" fillId="2" borderId="0" applyAlignment="1" pivotButton="0" quotePrefix="0" xfId="0">
      <alignment horizontal="right" vertical="center"/>
    </xf>
    <xf numFmtId="0" fontId="89" fillId="2" borderId="0" applyAlignment="1" pivotButton="0" quotePrefix="0" xfId="0">
      <alignment horizontal="general" vertical="bottom"/>
    </xf>
    <xf numFmtId="0" fontId="90" fillId="2" borderId="0" applyAlignment="1" pivotButton="0" quotePrefix="0" xfId="0">
      <alignment horizontal="general" vertical="bottom"/>
    </xf>
    <xf numFmtId="0" fontId="91" fillId="2" borderId="0" applyAlignment="1" pivotButton="0" quotePrefix="0" xfId="0">
      <alignment horizontal="general" vertical="center"/>
    </xf>
    <xf numFmtId="0" fontId="91" fillId="2" borderId="0" applyAlignment="1" pivotButton="0" quotePrefix="0" xfId="0">
      <alignment horizontal="left" vertical="center"/>
    </xf>
    <xf numFmtId="0" fontId="91" fillId="2" borderId="0" applyAlignment="1" pivotButton="0" quotePrefix="0" xfId="0">
      <alignment horizontal="general" vertical="bottom"/>
    </xf>
    <xf numFmtId="0" fontId="92" fillId="0" borderId="4" applyAlignment="1" pivotButton="0" quotePrefix="0" xfId="0">
      <alignment horizontal="left" vertical="bottom" wrapText="1"/>
    </xf>
    <xf numFmtId="0" fontId="5" fillId="2" borderId="36" applyAlignment="1" pivotButton="0" quotePrefix="0" xfId="0">
      <alignment horizontal="general" vertical="bottom"/>
    </xf>
    <xf numFmtId="0" fontId="79" fillId="2" borderId="33" applyAlignment="1" pivotButton="0" quotePrefix="0" xfId="0">
      <alignment horizontal="general" vertical="bottom"/>
    </xf>
    <xf numFmtId="0" fontId="5" fillId="2" borderId="33" applyAlignment="1" pivotButton="0" quotePrefix="0" xfId="0">
      <alignment horizontal="general" vertical="bottom"/>
    </xf>
    <xf numFmtId="0" fontId="5" fillId="2" borderId="37" applyAlignment="1" pivotButton="0" quotePrefix="0" xfId="0">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49" fillId="3" borderId="0" applyAlignment="1" pivotButton="0" quotePrefix="0" xfId="0">
      <alignment horizontal="general" vertical="bottom"/>
    </xf>
    <xf numFmtId="0" fontId="30" fillId="3" borderId="0" applyAlignment="1" pivotButton="0" quotePrefix="0" xfId="0">
      <alignment horizontal="general" vertical="bottom"/>
    </xf>
    <xf numFmtId="168" fontId="49" fillId="3" borderId="0" applyAlignment="1" pivotButton="0" quotePrefix="0" xfId="0">
      <alignment horizontal="general" vertical="bottom"/>
    </xf>
    <xf numFmtId="0" fontId="35" fillId="3" borderId="0" applyAlignment="1" pivotButton="0" quotePrefix="0" xfId="0">
      <alignment horizontal="general" vertical="bottom"/>
    </xf>
    <xf numFmtId="0" fontId="93" fillId="3" borderId="0" applyAlignment="1" pivotButton="0" quotePrefix="0" xfId="0">
      <alignment horizontal="general" vertical="bottom"/>
    </xf>
    <xf numFmtId="0" fontId="94" fillId="3" borderId="0" applyAlignment="1" pivotButton="0" quotePrefix="0" xfId="0">
      <alignment horizontal="general" vertical="bottom"/>
    </xf>
    <xf numFmtId="0" fontId="95" fillId="3" borderId="0" applyAlignment="1" pivotButton="0" quotePrefix="0" xfId="0">
      <alignment horizontal="right" vertical="bottom"/>
    </xf>
    <xf numFmtId="0" fontId="95" fillId="3" borderId="0" applyAlignment="1" pivotButton="0" quotePrefix="0" xfId="0">
      <alignment horizontal="general" vertical="bottom"/>
    </xf>
    <xf numFmtId="0" fontId="95" fillId="3" borderId="0" applyAlignment="1" pivotButton="0" quotePrefix="0" xfId="0">
      <alignment horizontal="left" vertical="bottom"/>
    </xf>
    <xf numFmtId="0" fontId="96" fillId="3" borderId="0" applyAlignment="1" pivotButton="0" quotePrefix="0" xfId="0">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99" fillId="3" borderId="0" applyAlignment="1" pivotButton="0" quotePrefix="0" xfId="0">
      <alignment horizontal="general" vertical="bottom"/>
    </xf>
    <xf numFmtId="12" fontId="35" fillId="3" borderId="0" applyAlignment="1" pivotButton="0" quotePrefix="0" xfId="0">
      <alignment horizontal="center" vertical="bottom"/>
    </xf>
    <xf numFmtId="2" fontId="34" fillId="3" borderId="0" applyAlignment="1" pivotButton="0" quotePrefix="0" xfId="0">
      <alignment horizontal="center" vertical="bottom"/>
    </xf>
    <xf numFmtId="49" fontId="34" fillId="3" borderId="0" applyAlignment="1" pivotButton="0" quotePrefix="0" xfId="0">
      <alignment horizontal="center" vertical="bottom"/>
    </xf>
    <xf numFmtId="0" fontId="34" fillId="3" borderId="0" applyAlignment="1" pivotButton="0" quotePrefix="0" xfId="0">
      <alignment horizontal="center" vertical="bottom"/>
    </xf>
    <xf numFmtId="0" fontId="73" fillId="3" borderId="0" applyAlignment="1" pivotButton="0" quotePrefix="0" xfId="0">
      <alignment horizontal="left" vertical="bottom"/>
    </xf>
    <xf numFmtId="0" fontId="73" fillId="3" borderId="0" applyAlignment="1" pivotButton="0" quotePrefix="0" xfId="0">
      <alignment horizontal="general" vertical="bottom"/>
    </xf>
    <xf numFmtId="49" fontId="62" fillId="3" borderId="0" applyAlignment="1" pivotButton="0" quotePrefix="0" xfId="0">
      <alignment horizontal="left" vertical="bottom"/>
    </xf>
    <xf numFmtId="0" fontId="50" fillId="3" borderId="35" applyAlignment="1" pivotButton="0" quotePrefix="0" xfId="0">
      <alignment horizontal="general" vertical="bottom"/>
    </xf>
    <xf numFmtId="0" fontId="62" fillId="3" borderId="0" applyAlignment="1" pivotButton="0" quotePrefix="0" xfId="0">
      <alignment horizontal="left" vertical="bottom"/>
    </xf>
    <xf numFmtId="0" fontId="22" fillId="3" borderId="0" applyAlignment="1" pivotButton="0" quotePrefix="0" xfId="0">
      <alignment horizontal="general" vertical="bottom"/>
    </xf>
    <xf numFmtId="0" fontId="100" fillId="3" borderId="1" applyAlignment="1" pivotButton="0" quotePrefix="0" xfId="0">
      <alignment horizontal="left" vertical="bottom"/>
    </xf>
    <xf numFmtId="0" fontId="100" fillId="3" borderId="1" applyAlignment="1" pivotButton="0" quotePrefix="0" xfId="0">
      <alignment horizontal="center" vertical="bottom" wrapText="1"/>
    </xf>
    <xf numFmtId="0" fontId="101" fillId="3" borderId="28" applyAlignment="1" pivotButton="0" quotePrefix="0" xfId="0">
      <alignment horizontal="left" vertical="bottom"/>
    </xf>
    <xf numFmtId="0" fontId="101" fillId="3" borderId="0" applyAlignment="1" pivotButton="0" quotePrefix="0" xfId="0">
      <alignment horizontal="left" vertical="bottom" wrapText="1"/>
    </xf>
    <xf numFmtId="0" fontId="102" fillId="3" borderId="0" applyAlignment="1" pivotButton="0" quotePrefix="0" xfId="0">
      <alignment horizontal="general" vertical="bottom"/>
    </xf>
    <xf numFmtId="0" fontId="101" fillId="3" borderId="0" applyAlignment="1" pivotButton="0" quotePrefix="0" xfId="0">
      <alignment horizontal="general" vertical="bottom" wrapText="1"/>
    </xf>
    <xf numFmtId="0" fontId="101" fillId="3" borderId="0" applyAlignment="1" pivotButton="0" quotePrefix="0" xfId="0">
      <alignment horizontal="left" vertical="bottom"/>
    </xf>
    <xf numFmtId="0" fontId="103" fillId="3" borderId="0" applyAlignment="1" pivotButton="0" quotePrefix="0" xfId="0">
      <alignment horizontal="left" vertical="bottom"/>
    </xf>
    <xf numFmtId="0" fontId="0" fillId="4" borderId="0" applyAlignment="1" pivotButton="0" quotePrefix="0" xfId="0">
      <alignment horizontal="general" vertical="bottom"/>
    </xf>
    <xf numFmtId="0" fontId="103" fillId="4" borderId="0" applyAlignment="1" pivotButton="0" quotePrefix="0" xfId="0">
      <alignment horizontal="left" vertical="bottom"/>
    </xf>
    <xf numFmtId="1" fontId="104" fillId="4" borderId="0" applyAlignment="1" pivotButton="0" quotePrefix="0" xfId="0">
      <alignment horizontal="general" vertical="bottom"/>
    </xf>
    <xf numFmtId="0" fontId="104" fillId="4" borderId="0" applyAlignment="1" pivotButton="0" quotePrefix="0" xfId="0">
      <alignment horizontal="general" vertical="bottom"/>
    </xf>
    <xf numFmtId="0" fontId="105" fillId="4" borderId="0" applyAlignment="1" pivotButton="0" quotePrefix="0" xfId="0">
      <alignment horizontal="general" vertical="bottom"/>
    </xf>
    <xf numFmtId="0" fontId="93" fillId="4" borderId="0" applyAlignment="1" pivotButton="0" quotePrefix="0" xfId="0">
      <alignment horizontal="general" vertical="bottom"/>
    </xf>
    <xf numFmtId="0" fontId="108" fillId="4" borderId="0" applyAlignment="1" pivotButton="0" quotePrefix="0" xfId="0">
      <alignment horizontal="general" vertical="bottom"/>
    </xf>
    <xf numFmtId="0" fontId="106" fillId="4" borderId="0" applyAlignment="1" pivotButton="0" quotePrefix="0" xfId="0">
      <alignment horizontal="left" vertical="bottom"/>
    </xf>
    <xf numFmtId="1" fontId="107" fillId="4" borderId="0" applyAlignment="1" pivotButton="0" quotePrefix="0" xfId="0">
      <alignment horizontal="general" vertical="bottom"/>
    </xf>
    <xf numFmtId="0" fontId="107" fillId="4" borderId="0" applyAlignment="1" pivotButton="0" quotePrefix="0" xfId="0">
      <alignment horizontal="general" vertical="bottom"/>
    </xf>
    <xf numFmtId="0" fontId="106" fillId="4" borderId="6" applyAlignment="1" pivotButton="0" quotePrefix="0" xfId="0">
      <alignment horizontal="center" vertical="bottom"/>
    </xf>
    <xf numFmtId="0" fontId="106" fillId="4" borderId="0" applyAlignment="1" pivotButton="0" quotePrefix="0" xfId="0">
      <alignment horizontal="general" vertical="bottom"/>
    </xf>
    <xf numFmtId="0" fontId="103" fillId="4" borderId="0" applyAlignment="1" pivotButton="0" quotePrefix="0" xfId="0">
      <alignment horizontal="center" vertical="bottom"/>
    </xf>
    <xf numFmtId="0" fontId="103" fillId="4" borderId="0" applyAlignment="1" pivotButton="0" quotePrefix="0" xfId="0">
      <alignment horizontal="general" vertical="bottom"/>
    </xf>
    <xf numFmtId="1" fontId="103" fillId="4" borderId="6" applyAlignment="1" pivotButton="0" quotePrefix="0" xfId="0">
      <alignment horizontal="center" vertical="bottom"/>
    </xf>
    <xf numFmtId="49" fontId="103" fillId="4" borderId="6" applyAlignment="1" pivotButton="0" quotePrefix="0" xfId="0">
      <alignment horizontal="center" vertical="bottom"/>
    </xf>
    <xf numFmtId="175" fontId="109" fillId="4" borderId="0" applyAlignment="1" pivotButton="0" quotePrefix="0" xfId="0">
      <alignment horizontal="right" vertical="center"/>
    </xf>
    <xf numFmtId="0" fontId="110" fillId="4" borderId="0" applyAlignment="1" pivotButton="0" quotePrefix="0" xfId="0">
      <alignment horizontal="center" vertical="bottom"/>
    </xf>
    <xf numFmtId="1" fontId="103" fillId="4" borderId="0" applyAlignment="1" pivotButton="0" quotePrefix="0" xfId="0">
      <alignment horizontal="center" vertical="bottom"/>
    </xf>
    <xf numFmtId="49" fontId="103" fillId="4" borderId="0" applyAlignment="1" pivotButton="0" quotePrefix="0" xfId="0">
      <alignment horizontal="center" vertical="bottom"/>
    </xf>
    <xf numFmtId="175" fontId="109" fillId="4" borderId="0" applyAlignment="1" pivotButton="0" quotePrefix="0" xfId="0">
      <alignment horizontal="right" vertical="bottom"/>
    </xf>
    <xf numFmtId="0" fontId="103" fillId="4" borderId="34" applyAlignment="1" pivotButton="0" quotePrefix="0" xfId="0">
      <alignment horizontal="center" vertical="bottom"/>
    </xf>
    <xf numFmtId="0" fontId="111" fillId="4" borderId="4" applyAlignment="1" pivotButton="0" quotePrefix="0" xfId="0">
      <alignment horizontal="center" vertical="bottom" wrapText="1"/>
    </xf>
    <xf numFmtId="0" fontId="103" fillId="4" borderId="6" applyAlignment="1" pivotButton="0" quotePrefix="0" xfId="0">
      <alignment horizontal="center" vertical="bottom"/>
    </xf>
    <xf numFmtId="0" fontId="111" fillId="4" borderId="35" applyAlignment="1" pivotButton="0" quotePrefix="0" xfId="0">
      <alignment horizontal="general" vertical="bottom"/>
    </xf>
    <xf numFmtId="0" fontId="111" fillId="4" borderId="36" applyAlignment="1" pivotButton="0" quotePrefix="0" xfId="0">
      <alignment horizontal="general" vertical="bottom"/>
    </xf>
    <xf numFmtId="0" fontId="111" fillId="4" borderId="0" applyAlignment="1" pivotButton="0" quotePrefix="0" xfId="0">
      <alignment horizontal="left" vertical="bottom"/>
    </xf>
    <xf numFmtId="0" fontId="112" fillId="4" borderId="0" applyAlignment="1" pivotButton="0" quotePrefix="0" xfId="0">
      <alignment horizontal="general" vertical="center" wrapText="1"/>
    </xf>
    <xf numFmtId="1" fontId="21" fillId="4" borderId="0" applyAlignment="1" pivotButton="0" quotePrefix="0" xfId="0">
      <alignment horizontal="general" vertical="bottom"/>
    </xf>
    <xf numFmtId="0" fontId="103" fillId="4" borderId="31" applyAlignment="1" pivotButton="0" quotePrefix="0" xfId="0">
      <alignment horizontal="center" vertical="bottom" wrapText="1"/>
    </xf>
    <xf numFmtId="0" fontId="103" fillId="4" borderId="0" applyAlignment="1" pivotButton="0" quotePrefix="0" xfId="0">
      <alignment horizontal="general" vertical="bottom" wrapText="1"/>
    </xf>
    <xf numFmtId="0" fontId="105" fillId="4" borderId="0" applyAlignment="1" pivotButton="0" quotePrefix="0" xfId="0">
      <alignment horizontal="general" vertical="center"/>
    </xf>
    <xf numFmtId="0" fontId="112" fillId="4" borderId="0" applyAlignment="1" pivotButton="0" quotePrefix="0" xfId="0">
      <alignment horizontal="general" vertical="bottom"/>
    </xf>
    <xf numFmtId="0" fontId="112" fillId="4" borderId="0" applyAlignment="1" pivotButton="0" quotePrefix="0" xfId="0">
      <alignment horizontal="left" vertical="center" wrapText="1"/>
    </xf>
    <xf numFmtId="0" fontId="112" fillId="4" borderId="0" applyAlignment="1" pivotButton="0" quotePrefix="0" xfId="0">
      <alignment horizontal="left" vertical="bottom"/>
    </xf>
    <xf numFmtId="0" fontId="29" fillId="4" borderId="0" applyAlignment="1" pivotButton="0" quotePrefix="0" xfId="0">
      <alignment horizontal="general" vertical="center"/>
    </xf>
    <xf numFmtId="0" fontId="111" fillId="4" borderId="0" applyAlignment="1" pivotButton="0" quotePrefix="0" xfId="0">
      <alignment horizontal="left" vertical="center"/>
    </xf>
    <xf numFmtId="0" fontId="111" fillId="4" borderId="0" applyAlignment="1" pivotButton="0" quotePrefix="0" xfId="0">
      <alignment horizontal="general" vertical="center"/>
    </xf>
    <xf numFmtId="0" fontId="112" fillId="4" borderId="0" applyAlignment="1" pivotButton="0" quotePrefix="0" xfId="0">
      <alignment horizontal="left" vertical="center"/>
    </xf>
    <xf numFmtId="0" fontId="103" fillId="4" borderId="0" applyAlignment="1" pivotButton="0" quotePrefix="0" xfId="0">
      <alignment horizontal="general" vertical="center"/>
    </xf>
    <xf numFmtId="0" fontId="103" fillId="4" borderId="6" applyAlignment="1" pivotButton="0" quotePrefix="0" xfId="0">
      <alignment horizontal="center" vertical="center" shrinkToFit="1"/>
    </xf>
    <xf numFmtId="0" fontId="103" fillId="4" borderId="0" applyAlignment="1" pivotButton="0" quotePrefix="0" xfId="0">
      <alignment horizontal="left" vertical="bottom" wrapText="1"/>
    </xf>
    <xf numFmtId="0" fontId="34" fillId="4" borderId="0" applyAlignment="1" pivotButton="0" quotePrefix="0" xfId="0">
      <alignment horizontal="general" vertical="center"/>
    </xf>
    <xf numFmtId="0" fontId="103" fillId="4" borderId="0" applyAlignment="1" pivotButton="0" quotePrefix="0" xfId="0">
      <alignment horizontal="left" vertical="center"/>
    </xf>
    <xf numFmtId="1" fontId="103" fillId="4" borderId="0" applyAlignment="1" pivotButton="0" quotePrefix="0" xfId="0">
      <alignment horizontal="general" vertical="center"/>
    </xf>
    <xf numFmtId="0" fontId="113" fillId="4" borderId="0" applyAlignment="1" pivotButton="0" quotePrefix="0" xfId="0">
      <alignment horizontal="general" vertical="center"/>
    </xf>
    <xf numFmtId="0" fontId="0" fillId="4" borderId="0" applyAlignment="1" pivotButton="0" quotePrefix="0" xfId="0">
      <alignment horizontal="general" vertical="center"/>
    </xf>
    <xf numFmtId="1" fontId="104" fillId="4" borderId="0" applyAlignment="1" pivotButton="0" quotePrefix="0" xfId="0">
      <alignment horizontal="general" vertical="center"/>
    </xf>
    <xf numFmtId="0" fontId="104" fillId="4" borderId="0" applyAlignment="1" pivotButton="0" quotePrefix="0" xfId="0">
      <alignment horizontal="general" vertical="center"/>
    </xf>
    <xf numFmtId="1" fontId="103" fillId="4" borderId="6" applyAlignment="1" pivotButton="0" quotePrefix="0" xfId="0">
      <alignment horizontal="center" vertical="center"/>
    </xf>
    <xf numFmtId="0" fontId="103" fillId="4" borderId="0" applyAlignment="1" pivotButton="0" quotePrefix="0" xfId="0">
      <alignment horizontal="left" vertical="center" wrapText="1"/>
    </xf>
    <xf numFmtId="1" fontId="103" fillId="4" borderId="0" applyAlignment="1" pivotButton="0" quotePrefix="0" xfId="0">
      <alignment horizontal="center" vertical="center"/>
    </xf>
    <xf numFmtId="175" fontId="103" fillId="4" borderId="0" applyAlignment="1" pivotButton="0" quotePrefix="0" xfId="0">
      <alignment horizontal="right" vertical="center"/>
    </xf>
    <xf numFmtId="0" fontId="103" fillId="4" borderId="0" applyAlignment="1" pivotButton="0" quotePrefix="0" xfId="0">
      <alignment horizontal="center" vertical="bottom" wrapText="1"/>
    </xf>
    <xf numFmtId="0" fontId="103" fillId="4" borderId="35" applyAlignment="1" pivotButton="0" quotePrefix="0" xfId="0">
      <alignment horizontal="left" vertical="center"/>
    </xf>
    <xf numFmtId="0" fontId="103" fillId="4" borderId="6" applyAlignment="1" pivotButton="0" quotePrefix="0" xfId="0">
      <alignment horizontal="center" vertical="center"/>
    </xf>
    <xf numFmtId="0" fontId="103" fillId="2" borderId="35" applyAlignment="1" pivotButton="0" quotePrefix="0" xfId="0">
      <alignment horizontal="left" vertical="center"/>
    </xf>
    <xf numFmtId="0" fontId="104" fillId="2" borderId="0" applyAlignment="1" pivotButton="0" quotePrefix="0" xfId="0">
      <alignment horizontal="general" vertical="center"/>
    </xf>
    <xf numFmtId="0" fontId="114" fillId="2" borderId="0" applyAlignment="1" pivotButton="0" quotePrefix="0" xfId="0">
      <alignment horizontal="center" vertical="center"/>
    </xf>
    <xf numFmtId="0" fontId="103" fillId="0" borderId="35" applyAlignment="1" pivotButton="0" quotePrefix="0" xfId="0">
      <alignment horizontal="left" vertical="center"/>
    </xf>
    <xf numFmtId="0" fontId="104" fillId="0" borderId="0" applyAlignment="1" pivotButton="0" quotePrefix="0" xfId="0">
      <alignment horizontal="general" vertical="center"/>
    </xf>
    <xf numFmtId="0" fontId="103" fillId="0" borderId="0" applyAlignment="1" pivotButton="0" quotePrefix="0" xfId="0">
      <alignment horizontal="left" vertical="center" wrapText="1"/>
    </xf>
    <xf numFmtId="0" fontId="29" fillId="0" borderId="0" applyAlignment="1" pivotButton="0" quotePrefix="0" xfId="0">
      <alignment horizontal="general" vertical="center"/>
    </xf>
    <xf numFmtId="0" fontId="111" fillId="0" borderId="0" applyAlignment="1" pivotButton="0" quotePrefix="0" xfId="0">
      <alignment horizontal="left" vertical="center"/>
    </xf>
    <xf numFmtId="0" fontId="103" fillId="0" borderId="0" applyAlignment="1" pivotButton="0" quotePrefix="0" xfId="0">
      <alignment horizontal="general" vertical="center"/>
    </xf>
    <xf numFmtId="0" fontId="103" fillId="0" borderId="0" applyAlignment="1" pivotButton="0" quotePrefix="0" xfId="0">
      <alignment horizontal="left" vertical="center"/>
    </xf>
    <xf numFmtId="0" fontId="29" fillId="0" borderId="0" applyAlignment="1" pivotButton="0" quotePrefix="0" xfId="0">
      <alignment horizontal="general" vertical="bottom"/>
    </xf>
    <xf numFmtId="0" fontId="103" fillId="0" borderId="0" applyAlignment="1" pivotButton="0" quotePrefix="0" xfId="0">
      <alignment horizontal="general" vertical="bottom"/>
    </xf>
    <xf numFmtId="0" fontId="103" fillId="0" borderId="0" applyAlignment="1" pivotButton="0" quotePrefix="0" xfId="0">
      <alignment horizontal="left" vertical="bottom"/>
    </xf>
    <xf numFmtId="0" fontId="111" fillId="0" borderId="0" applyAlignment="1" pivotButton="0" quotePrefix="0" xfId="0">
      <alignment horizontal="left" vertical="bottom"/>
    </xf>
    <xf numFmtId="0" fontId="103" fillId="2" borderId="0" applyAlignment="1" pivotButton="0" quotePrefix="0" xfId="0">
      <alignment horizontal="general" vertical="bottom"/>
    </xf>
    <xf numFmtId="0" fontId="104" fillId="0" borderId="0" applyAlignment="1" pivotButton="0" quotePrefix="0" xfId="0">
      <alignment horizontal="general" vertical="bottom"/>
    </xf>
    <xf numFmtId="0" fontId="104" fillId="0" borderId="0" applyAlignment="1" pivotButton="0" quotePrefix="0" xfId="0">
      <alignment horizontal="left" vertical="bottom"/>
    </xf>
    <xf numFmtId="0" fontId="115" fillId="0" borderId="0" applyAlignment="1" pivotButton="0" quotePrefix="0" xfId="0">
      <alignment horizontal="general" vertical="center"/>
    </xf>
    <xf numFmtId="0" fontId="105" fillId="0" borderId="0" applyAlignment="1" pivotButton="0" quotePrefix="0" xfId="0">
      <alignment horizontal="general" vertical="center"/>
    </xf>
    <xf numFmtId="0" fontId="111" fillId="0" borderId="0" applyAlignment="1" pivotButton="0" quotePrefix="0" xfId="0">
      <alignment horizontal="general" vertical="center"/>
    </xf>
    <xf numFmtId="0" fontId="111" fillId="0" borderId="0" applyAlignment="1" pivotButton="0" quotePrefix="0" xfId="0">
      <alignment horizontal="left" vertical="center" wrapText="1"/>
    </xf>
    <xf numFmtId="0" fontId="104" fillId="2" borderId="0" applyAlignment="1" pivotButton="0" quotePrefix="0" xfId="0">
      <alignment horizontal="left" vertical="bottom"/>
    </xf>
    <xf numFmtId="0" fontId="104" fillId="2" borderId="0" applyAlignment="1" pivotButton="0" quotePrefix="0" xfId="0">
      <alignment horizontal="general" vertical="bottom"/>
    </xf>
    <xf numFmtId="0" fontId="35" fillId="0" borderId="0" applyAlignment="1" pivotButton="0" quotePrefix="0" xfId="0">
      <alignment horizontal="general" vertical="bottom"/>
    </xf>
    <xf numFmtId="0" fontId="103" fillId="2" borderId="0" applyAlignment="1" pivotButton="0" quotePrefix="0" xfId="0">
      <alignment horizontal="left" vertical="bottom"/>
    </xf>
    <xf numFmtId="0" fontId="35" fillId="2" borderId="0" applyAlignment="1" pivotButton="0" quotePrefix="0" xfId="0">
      <alignment horizontal="left" vertical="bottom"/>
    </xf>
    <xf numFmtId="0" fontId="35" fillId="2" borderId="0" applyAlignment="1" pivotButton="0" quotePrefix="0" xfId="0">
      <alignment horizontal="general" vertical="bottom"/>
    </xf>
    <xf numFmtId="0" fontId="116" fillId="2" borderId="0" applyAlignment="1" pivotButton="0" quotePrefix="0" xfId="0">
      <alignment horizontal="general" vertical="center"/>
    </xf>
    <xf numFmtId="0" fontId="5" fillId="0" borderId="6" applyAlignment="1" pivotButton="0" quotePrefix="0" xfId="0">
      <alignment horizontal="left" vertical="bottom"/>
    </xf>
    <xf numFmtId="0" fontId="5" fillId="4" borderId="6" applyAlignment="1" pivotButton="0" quotePrefix="0" xfId="0">
      <alignment horizontal="left" vertical="bottom"/>
    </xf>
    <xf numFmtId="0" fontId="5" fillId="0" borderId="0" applyAlignment="1" pivotButton="0" quotePrefix="0" xfId="0">
      <alignment horizontal="general" vertical="bottom"/>
    </xf>
    <xf numFmtId="0" fontId="117" fillId="0" borderId="6" applyAlignment="1" pivotButton="0" quotePrefix="0" xfId="0">
      <alignment horizontal="left" vertical="center" wrapText="1"/>
    </xf>
    <xf numFmtId="0" fontId="118" fillId="4" borderId="6" applyAlignment="1" pivotButton="0" quotePrefix="0" xfId="0">
      <alignment horizontal="left" vertical="center" wrapText="1"/>
    </xf>
    <xf numFmtId="0" fontId="118" fillId="0" borderId="7" applyAlignment="1" pivotButton="0" quotePrefix="0" xfId="0">
      <alignment horizontal="center" vertical="center" wrapText="1"/>
    </xf>
    <xf numFmtId="0" fontId="117" fillId="0" borderId="21" applyAlignment="1" pivotButton="0" quotePrefix="0" xfId="0">
      <alignment horizontal="general" vertical="center" wrapText="1"/>
    </xf>
    <xf numFmtId="2" fontId="119" fillId="0" borderId="0" applyAlignment="1" applyProtection="1" pivotButton="0" quotePrefix="0" xfId="0">
      <alignment horizontal="general" vertical="bottom"/>
      <protection locked="0" hidden="0"/>
    </xf>
    <xf numFmtId="0" fontId="118" fillId="0" borderId="6" applyAlignment="1" pivotButton="0" quotePrefix="0" xfId="0">
      <alignment horizontal="left" vertical="center" wrapText="1"/>
    </xf>
    <xf numFmtId="0" fontId="118" fillId="0" borderId="44" applyAlignment="1" pivotButton="0" quotePrefix="0" xfId="0">
      <alignment horizontal="center" vertical="center" wrapText="1"/>
    </xf>
    <xf numFmtId="0" fontId="118" fillId="0" borderId="6" applyAlignment="1" pivotButton="0" quotePrefix="0" xfId="0">
      <alignment horizontal="center" vertical="center" wrapText="1"/>
    </xf>
    <xf numFmtId="0" fontId="118" fillId="0" borderId="8" applyAlignment="1" pivotButton="0" quotePrefix="0" xfId="0">
      <alignment horizontal="center" vertical="center" wrapText="1"/>
    </xf>
    <xf numFmtId="0" fontId="120" fillId="0" borderId="6" applyAlignment="1" pivotButton="0" quotePrefix="0" xfId="0">
      <alignment horizontal="left" vertical="center" wrapText="1"/>
    </xf>
    <xf numFmtId="0" fontId="117" fillId="0" borderId="44" applyAlignment="1" pivotButton="0" quotePrefix="0" xfId="0">
      <alignment horizontal="center" vertical="center" wrapText="1"/>
    </xf>
    <xf numFmtId="0" fontId="117" fillId="0" borderId="6" applyAlignment="1" pivotButton="0" quotePrefix="0" xfId="0">
      <alignment horizontal="center" vertical="center" wrapText="1"/>
    </xf>
    <xf numFmtId="169" fontId="117" fillId="0" borderId="6" applyAlignment="1" pivotButton="0" quotePrefix="0" xfId="0">
      <alignment horizontal="center" vertical="center" wrapText="1"/>
    </xf>
    <xf numFmtId="0" fontId="117" fillId="0" borderId="8" applyAlignment="1" pivotButton="0" quotePrefix="0" xfId="0">
      <alignment horizontal="center" vertical="center" wrapText="1"/>
    </xf>
    <xf numFmtId="176" fontId="117" fillId="0" borderId="0" applyAlignment="1" pivotButton="0" quotePrefix="0" xfId="0">
      <alignment horizontal="general" vertical="bottom"/>
    </xf>
    <xf numFmtId="0" fontId="121" fillId="0" borderId="72" applyAlignment="1" pivotButton="0" quotePrefix="0" xfId="0">
      <alignment horizontal="center" vertical="bottom"/>
    </xf>
    <xf numFmtId="2" fontId="119" fillId="0" borderId="0" applyAlignment="1" pivotButton="0" quotePrefix="0" xfId="0">
      <alignment horizontal="general" vertical="bottom"/>
    </xf>
    <xf numFmtId="2" fontId="5" fillId="0" borderId="0" applyAlignment="1" pivotButton="0" quotePrefix="0" xfId="0">
      <alignment horizontal="general" vertical="bottom"/>
    </xf>
    <xf numFmtId="0" fontId="122" fillId="16" borderId="6" applyAlignment="1" pivotButton="0" quotePrefix="0" xfId="0">
      <alignment horizontal="left" vertical="center" wrapText="1"/>
    </xf>
    <xf numFmtId="0" fontId="117" fillId="17" borderId="6" applyAlignment="1" applyProtection="1" pivotButton="0" quotePrefix="0" xfId="0">
      <alignment horizontal="left" vertical="center"/>
      <protection locked="0" hidden="0"/>
    </xf>
    <xf numFmtId="169" fontId="117" fillId="0" borderId="47" applyAlignment="1" applyProtection="1" pivotButton="0" quotePrefix="0" xfId="0">
      <alignment horizontal="center" vertical="center"/>
      <protection locked="0" hidden="0"/>
    </xf>
    <xf numFmtId="0" fontId="122" fillId="16" borderId="7" applyAlignment="1" pivotButton="0" quotePrefix="0" xfId="0">
      <alignment horizontal="left" vertical="center" wrapText="1"/>
    </xf>
    <xf numFmtId="0" fontId="85" fillId="0" borderId="7" applyAlignment="1" applyProtection="1" pivotButton="0" quotePrefix="0" xfId="0">
      <alignment horizontal="left" vertical="center" wrapText="1"/>
      <protection locked="0" hidden="0"/>
    </xf>
    <xf numFmtId="0" fontId="86" fillId="2" borderId="6" applyAlignment="1" applyProtection="1" pivotButton="0" quotePrefix="0" xfId="0">
      <alignment horizontal="center" vertical="center" wrapText="1"/>
      <protection locked="0" hidden="0"/>
    </xf>
    <xf numFmtId="0" fontId="117" fillId="0" borderId="44" applyAlignment="1" applyProtection="1" pivotButton="0" quotePrefix="0" xfId="0">
      <alignment horizontal="center" vertical="center"/>
      <protection locked="0" hidden="0"/>
    </xf>
    <xf numFmtId="0" fontId="117" fillId="0" borderId="6" applyAlignment="1" applyProtection="1" pivotButton="0" quotePrefix="0" xfId="0">
      <alignment horizontal="center" vertical="center"/>
      <protection locked="0" hidden="0"/>
    </xf>
    <xf numFmtId="0" fontId="122" fillId="16" borderId="20" applyAlignment="1" pivotButton="0" quotePrefix="0" xfId="0">
      <alignment horizontal="general" vertical="center" wrapText="1"/>
    </xf>
    <xf numFmtId="0" fontId="86" fillId="0" borderId="6" applyAlignment="1" pivotButton="0" quotePrefix="0" xfId="0">
      <alignment horizontal="general" vertical="center"/>
    </xf>
    <xf numFmtId="0" fontId="123" fillId="0" borderId="0" applyAlignment="1" pivotButton="0" quotePrefix="0" xfId="0">
      <alignment horizontal="general" vertical="bottom"/>
    </xf>
    <xf numFmtId="0" fontId="117" fillId="0" borderId="16" applyAlignment="1" applyProtection="1" pivotButton="0" quotePrefix="0" xfId="0">
      <alignment horizontal="center" vertical="center"/>
      <protection locked="0" hidden="0"/>
    </xf>
    <xf numFmtId="0" fontId="122" fillId="16" borderId="11" applyAlignment="1" pivotButton="0" quotePrefix="0" xfId="0">
      <alignment horizontal="left" vertical="center" wrapText="1"/>
    </xf>
    <xf numFmtId="0" fontId="117" fillId="0" borderId="11" applyAlignment="1" applyProtection="1" pivotButton="0" quotePrefix="0" xfId="0">
      <alignment horizontal="center" vertical="center"/>
      <protection locked="0" hidden="0"/>
    </xf>
    <xf numFmtId="0" fontId="122" fillId="16" borderId="11" applyAlignment="1" pivotButton="0" quotePrefix="0" xfId="0">
      <alignment horizontal="general" vertical="center" wrapText="1"/>
    </xf>
    <xf numFmtId="0" fontId="118" fillId="0" borderId="41" applyAlignment="1" applyProtection="1" pivotButton="0" quotePrefix="0" xfId="0">
      <alignment horizontal="center" vertical="center"/>
      <protection locked="0" hidden="0"/>
    </xf>
    <xf numFmtId="0" fontId="124" fillId="0" borderId="0" applyAlignment="1" pivotButton="0" quotePrefix="0" xfId="0">
      <alignment horizontal="general" vertical="bottom"/>
    </xf>
    <xf numFmtId="0" fontId="122" fillId="18" borderId="6" applyAlignment="1" pivotButton="0" quotePrefix="0" xfId="0">
      <alignment horizontal="left" vertical="center" wrapText="1"/>
    </xf>
    <xf numFmtId="2" fontId="118" fillId="17" borderId="6" applyAlignment="1" pivotButton="0" quotePrefix="0" xfId="0">
      <alignment horizontal="left" vertical="center"/>
    </xf>
    <xf numFmtId="0" fontId="122" fillId="2" borderId="6" applyAlignment="1" pivotButton="0" quotePrefix="0" xfId="0">
      <alignment horizontal="left" vertical="center" wrapText="1"/>
    </xf>
    <xf numFmtId="0" fontId="117" fillId="2" borderId="28" applyAlignment="1" pivotButton="0" quotePrefix="0" xfId="0">
      <alignment horizontal="general" vertical="bottom"/>
    </xf>
    <xf numFmtId="0" fontId="122" fillId="2" borderId="28" applyAlignment="1" pivotButton="0" quotePrefix="0" xfId="0">
      <alignment horizontal="left" vertical="center" wrapText="1"/>
    </xf>
    <xf numFmtId="0" fontId="122" fillId="0" borderId="0" applyAlignment="1" pivotButton="0" quotePrefix="0" xfId="0">
      <alignment horizontal="left" vertical="center" wrapText="1"/>
    </xf>
    <xf numFmtId="0" fontId="88" fillId="0" borderId="29" applyAlignment="1" pivotButton="0" quotePrefix="0" xfId="0">
      <alignment horizontal="center" vertical="center"/>
    </xf>
    <xf numFmtId="0" fontId="123" fillId="2" borderId="0" applyAlignment="1" pivotButton="0" quotePrefix="0" xfId="0">
      <alignment horizontal="general" vertical="bottom"/>
    </xf>
    <xf numFmtId="2" fontId="125" fillId="17" borderId="6" applyAlignment="1" applyProtection="1" pivotButton="0" quotePrefix="0" xfId="0">
      <alignment horizontal="left" vertical="center"/>
      <protection locked="0" hidden="0"/>
    </xf>
    <xf numFmtId="0" fontId="117" fillId="2" borderId="47" applyAlignment="1" applyProtection="1" pivotButton="0" quotePrefix="0" xfId="0">
      <alignment horizontal="center" vertical="center"/>
      <protection locked="0" hidden="0"/>
    </xf>
    <xf numFmtId="0" fontId="117" fillId="2" borderId="7" applyAlignment="1" applyProtection="1" pivotButton="0" quotePrefix="0" xfId="0">
      <alignment horizontal="center" vertical="center"/>
      <protection locked="0" hidden="0"/>
    </xf>
    <xf numFmtId="0" fontId="118" fillId="2" borderId="21" applyAlignment="1" applyProtection="1" pivotButton="0" quotePrefix="0" xfId="0">
      <alignment horizontal="center" vertical="center" wrapText="1"/>
      <protection locked="0" hidden="0"/>
    </xf>
    <xf numFmtId="2" fontId="123" fillId="0" borderId="0" applyAlignment="1" pivotButton="0" quotePrefix="0" xfId="0">
      <alignment horizontal="general" vertical="bottom"/>
    </xf>
    <xf numFmtId="2" fontId="118" fillId="17" borderId="6" applyAlignment="1" applyProtection="1" pivotButton="0" quotePrefix="0" xfId="0">
      <alignment horizontal="left" vertical="center"/>
      <protection locked="0" hidden="0"/>
    </xf>
    <xf numFmtId="0" fontId="126" fillId="2" borderId="73" applyAlignment="1" applyProtection="1" pivotButton="0" quotePrefix="0" xfId="0">
      <alignment horizontal="center" vertical="center"/>
      <protection locked="0" hidden="0"/>
    </xf>
    <xf numFmtId="0" fontId="118" fillId="2" borderId="6" applyAlignment="1" pivotButton="0" quotePrefix="0" xfId="0">
      <alignment horizontal="center" vertical="center"/>
    </xf>
    <xf numFmtId="0" fontId="118" fillId="2" borderId="8" applyAlignment="1" applyProtection="1" pivotButton="0" quotePrefix="0" xfId="0">
      <alignment horizontal="center" vertical="center"/>
      <protection locked="0" hidden="0"/>
    </xf>
    <xf numFmtId="0" fontId="122" fillId="16" borderId="15" applyAlignment="1" pivotButton="0" quotePrefix="0" xfId="0">
      <alignment horizontal="left" vertical="center" wrapText="1"/>
    </xf>
    <xf numFmtId="2" fontId="118" fillId="2" borderId="43" applyAlignment="1" applyProtection="1" pivotButton="0" quotePrefix="0" xfId="0">
      <alignment horizontal="center" vertical="center"/>
      <protection locked="0" hidden="0"/>
    </xf>
    <xf numFmtId="2" fontId="122" fillId="2" borderId="27" applyAlignment="1" pivotButton="0" quotePrefix="0" xfId="0">
      <alignment horizontal="center" vertical="center" wrapText="1"/>
    </xf>
    <xf numFmtId="0" fontId="122" fillId="2" borderId="6" applyAlignment="1" pivotButton="0" quotePrefix="0" xfId="0">
      <alignment horizontal="general" vertical="center" wrapText="1"/>
    </xf>
    <xf numFmtId="0" fontId="122" fillId="2" borderId="6" applyAlignment="1" pivotButton="0" quotePrefix="0" xfId="0">
      <alignment horizontal="center" vertical="center" wrapText="1"/>
    </xf>
    <xf numFmtId="2" fontId="127" fillId="0" borderId="0" applyAlignment="1" pivotButton="0" quotePrefix="0" xfId="0">
      <alignment horizontal="general" vertical="bottom"/>
    </xf>
    <xf numFmtId="0" fontId="121" fillId="0" borderId="6" applyAlignment="1" pivotButton="0" quotePrefix="0" xfId="0">
      <alignment horizontal="left" vertical="bottom"/>
    </xf>
    <xf numFmtId="0" fontId="121" fillId="0" borderId="33" applyAlignment="1" pivotButton="0" quotePrefix="0" xfId="0">
      <alignment horizontal="general" vertical="bottom"/>
    </xf>
    <xf numFmtId="0" fontId="5" fillId="7" borderId="0" applyAlignment="1" pivotButton="0" quotePrefix="0" xfId="0">
      <alignment horizontal="general" vertical="bottom"/>
    </xf>
    <xf numFmtId="0" fontId="128" fillId="4" borderId="6" applyAlignment="1" pivotButton="0" quotePrefix="0" xfId="0">
      <alignment horizontal="left" vertical="center" wrapText="1"/>
    </xf>
    <xf numFmtId="0" fontId="128" fillId="7" borderId="74" applyAlignment="1" pivotButton="0" quotePrefix="0" xfId="0">
      <alignment horizontal="center" vertical="center" wrapText="1"/>
    </xf>
    <xf numFmtId="0" fontId="128" fillId="7" borderId="75" applyAlignment="1" pivotButton="0" quotePrefix="0" xfId="0">
      <alignment horizontal="center" vertical="center" wrapText="1"/>
    </xf>
    <xf numFmtId="0" fontId="128" fillId="7" borderId="52" applyAlignment="1" pivotButton="0" quotePrefix="0" xfId="0">
      <alignment horizontal="left" vertical="center" wrapText="1"/>
    </xf>
    <xf numFmtId="2" fontId="5" fillId="7" borderId="0" applyAlignment="1" pivotButton="0" quotePrefix="0" xfId="0">
      <alignment horizontal="general" vertical="bottom"/>
    </xf>
    <xf numFmtId="0" fontId="5" fillId="0" borderId="0" applyAlignment="1" applyProtection="1" pivotButton="0" quotePrefix="0" xfId="0">
      <alignment horizontal="general" vertical="bottom"/>
      <protection locked="0" hidden="0"/>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29" fillId="17" borderId="47" applyAlignment="1" applyProtection="1" pivotButton="0" quotePrefix="0" xfId="0">
      <alignment horizontal="center" vertical="center"/>
      <protection locked="0" hidden="0"/>
    </xf>
    <xf numFmtId="2" fontId="129" fillId="17" borderId="7" applyAlignment="1" applyProtection="1" pivotButton="0" quotePrefix="0" xfId="0">
      <alignment horizontal="center" vertical="center"/>
      <protection locked="0" hidden="0"/>
    </xf>
    <xf numFmtId="2" fontId="130" fillId="17" borderId="7" applyAlignment="1" applyProtection="1" pivotButton="0" quotePrefix="0" xfId="0">
      <alignment horizontal="center" vertical="center"/>
      <protection locked="0" hidden="0"/>
    </xf>
    <xf numFmtId="2" fontId="122" fillId="17" borderId="21" applyAlignment="1" applyProtection="1" pivotButton="0" quotePrefix="0" xfId="0">
      <alignment horizontal="center" vertical="center" wrapText="1"/>
      <protection locked="0" hidden="0"/>
    </xf>
    <xf numFmtId="2" fontId="119" fillId="0" borderId="0" applyAlignment="1" applyProtection="1" pivotButton="0" quotePrefix="0" xfId="0">
      <alignment horizontal="center" vertical="center"/>
      <protection locked="0" hidden="0"/>
    </xf>
    <xf numFmtId="2" fontId="88" fillId="0" borderId="0" applyAlignment="1" applyProtection="1" pivotButton="0" quotePrefix="0" xfId="0">
      <alignment horizontal="center" vertical="center"/>
      <protection locked="0" hidden="0"/>
    </xf>
    <xf numFmtId="2" fontId="131" fillId="0" borderId="0" applyAlignment="1" applyProtection="1" pivotButton="0" quotePrefix="0" xfId="0">
      <alignment horizontal="general" vertical="center"/>
      <protection locked="0" hidden="0"/>
    </xf>
    <xf numFmtId="2" fontId="129" fillId="17" borderId="44" applyAlignment="1" applyProtection="1" pivotButton="0" quotePrefix="0" xfId="0">
      <alignment horizontal="center" vertical="center"/>
      <protection locked="0" hidden="0"/>
    </xf>
    <xf numFmtId="2" fontId="129" fillId="17" borderId="6" applyAlignment="1" applyProtection="1" pivotButton="0" quotePrefix="0" xfId="0">
      <alignment horizontal="center" vertical="center"/>
      <protection locked="0" hidden="0"/>
    </xf>
    <xf numFmtId="2" fontId="130" fillId="17" borderId="6" applyAlignment="1" applyProtection="1" pivotButton="0" quotePrefix="0" xfId="0">
      <alignment horizontal="center" vertical="center"/>
      <protection locked="0" hidden="0"/>
    </xf>
    <xf numFmtId="2" fontId="122" fillId="17" borderId="8" applyAlignment="1" applyProtection="1" pivotButton="0" quotePrefix="0" xfId="0">
      <alignment horizontal="center" vertical="center" wrapText="1"/>
      <protection locked="0" hidden="0"/>
    </xf>
    <xf numFmtId="2" fontId="123" fillId="0" borderId="0" applyAlignment="1" applyProtection="1" pivotButton="0" quotePrefix="0" xfId="0">
      <alignment horizontal="general" vertical="bottom"/>
      <protection locked="0" hidden="0"/>
    </xf>
    <xf numFmtId="0" fontId="88" fillId="0" borderId="0" applyAlignment="1" applyProtection="1" pivotButton="0" quotePrefix="0" xfId="0">
      <alignment horizontal="center" vertical="center"/>
      <protection locked="0" hidden="0"/>
    </xf>
    <xf numFmtId="0" fontId="127" fillId="0" borderId="0" applyAlignment="1" applyProtection="1" pivotButton="0" quotePrefix="0" xfId="0">
      <alignment horizontal="general" vertical="bottom"/>
      <protection locked="0" hidden="0"/>
    </xf>
    <xf numFmtId="0" fontId="119" fillId="0" borderId="0" applyAlignment="1" applyProtection="1" pivotButton="0" quotePrefix="0" xfId="0">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75" fillId="0" borderId="14" applyAlignment="1" applyProtection="1" pivotButton="0" quotePrefix="0" xfId="0">
      <alignment horizontal="center" vertical="center"/>
      <protection locked="0" hidden="0"/>
    </xf>
    <xf numFmtId="2" fontId="129" fillId="20" borderId="6" applyAlignment="1" applyProtection="1" pivotButton="0" quotePrefix="0" xfId="0">
      <alignment horizontal="center" vertical="center"/>
      <protection locked="0" hidden="0"/>
    </xf>
    <xf numFmtId="2" fontId="130" fillId="20" borderId="6" applyAlignment="1" applyProtection="1" pivotButton="0" quotePrefix="0" xfId="0">
      <alignment horizontal="center" vertical="center"/>
      <protection locked="0" hidden="0"/>
    </xf>
    <xf numFmtId="0" fontId="132" fillId="0" borderId="25" applyAlignment="1" applyProtection="1" pivotButton="0" quotePrefix="0" xfId="0">
      <alignment horizontal="center" vertical="center"/>
      <protection locked="0" hidden="0"/>
    </xf>
    <xf numFmtId="2" fontId="132" fillId="0" borderId="25" applyAlignment="1" applyProtection="1" pivotButton="0" quotePrefix="0" xfId="0">
      <alignment horizontal="center" vertical="center"/>
      <protection locked="0" hidden="0"/>
    </xf>
    <xf numFmtId="2" fontId="5" fillId="0" borderId="0" applyAlignment="1" applyProtection="1" pivotButton="0" quotePrefix="0" xfId="0">
      <alignment horizontal="general" vertical="bottom"/>
      <protection locked="0" hidden="0"/>
    </xf>
    <xf numFmtId="0" fontId="133" fillId="2" borderId="25" applyAlignment="1" applyProtection="1" pivotButton="0" quotePrefix="0" xfId="0">
      <alignment horizontal="center" vertical="center"/>
      <protection locked="0" hidden="0"/>
    </xf>
    <xf numFmtId="2" fontId="134" fillId="0" borderId="4" applyAlignment="1" pivotButton="0" quotePrefix="0" xfId="0">
      <alignment horizontal="center" vertical="bottom"/>
    </xf>
    <xf numFmtId="177" fontId="5" fillId="0" borderId="0" applyAlignment="1" applyProtection="1" pivotButton="0" quotePrefix="0" xfId="0">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75" fillId="0" borderId="74" applyAlignment="1" applyProtection="1" pivotButton="0" quotePrefix="0" xfId="0">
      <alignment horizontal="center" vertical="center"/>
      <protection locked="0" hidden="0"/>
    </xf>
    <xf numFmtId="0" fontId="132" fillId="0" borderId="52" applyAlignment="1" applyProtection="1" pivotButton="0" quotePrefix="0" xfId="0">
      <alignment horizontal="center" vertical="center"/>
      <protection locked="0" hidden="0"/>
    </xf>
    <xf numFmtId="0" fontId="122" fillId="2" borderId="25" applyAlignment="1" applyProtection="1" pivotButton="0" quotePrefix="0" xfId="0">
      <alignment horizontal="center" vertical="center"/>
      <protection locked="0" hidden="0"/>
    </xf>
    <xf numFmtId="0" fontId="133" fillId="2" borderId="52" applyAlignment="1" applyProtection="1" pivotButton="0" quotePrefix="0" xfId="0">
      <alignment horizontal="center" vertical="center"/>
      <protection locked="0" hidden="0"/>
    </xf>
    <xf numFmtId="0" fontId="133" fillId="4" borderId="25" applyAlignment="1" applyProtection="1" pivotButton="0" quotePrefix="0" xfId="0">
      <alignment horizontal="center" vertical="center"/>
      <protection locked="0" hidden="0"/>
    </xf>
    <xf numFmtId="0" fontId="135" fillId="4" borderId="6" applyAlignment="1" applyProtection="1" pivotButton="0" quotePrefix="0" xfId="0">
      <alignment horizontal="center" vertical="center"/>
      <protection locked="0" hidden="0"/>
    </xf>
    <xf numFmtId="2" fontId="75" fillId="17" borderId="14" applyAlignment="1" applyProtection="1" pivotButton="0" quotePrefix="0" xfId="0">
      <alignment horizontal="center" vertical="center"/>
      <protection locked="0" hidden="0"/>
    </xf>
    <xf numFmtId="0" fontId="122" fillId="20" borderId="21" applyAlignment="1" applyProtection="1" pivotButton="0" quotePrefix="0" xfId="0">
      <alignment horizontal="center" vertical="center" wrapText="1"/>
      <protection locked="0" hidden="0"/>
    </xf>
    <xf numFmtId="2" fontId="129" fillId="20" borderId="44" applyAlignment="1" applyProtection="1" pivotButton="0" quotePrefix="0" xfId="0">
      <alignment horizontal="center" vertical="center"/>
      <protection locked="0" hidden="0"/>
    </xf>
    <xf numFmtId="0" fontId="136" fillId="20" borderId="8" applyAlignment="1" applyProtection="1" pivotButton="0" quotePrefix="0" xfId="0">
      <alignment horizontal="center" vertical="center" wrapText="1"/>
      <protection locked="0" hidden="0"/>
    </xf>
    <xf numFmtId="0" fontId="122" fillId="20" borderId="8" applyAlignment="1" applyProtection="1" pivotButton="0" quotePrefix="0" xfId="0">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86" fillId="0" borderId="0" applyAlignment="1" applyProtection="1" pivotButton="0" quotePrefix="0" xfId="0">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75" fillId="0" borderId="44" applyAlignment="1" applyProtection="1" pivotButton="0" quotePrefix="0" xfId="0">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0">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75" fillId="20" borderId="47" applyAlignment="1" applyProtection="1" pivotButton="0" quotePrefix="0" xfId="0">
      <alignment horizontal="center" vertical="center"/>
      <protection locked="0" hidden="0"/>
    </xf>
    <xf numFmtId="178" fontId="120" fillId="20" borderId="21" applyAlignment="1" applyProtection="1" pivotButton="0" quotePrefix="0" xfId="0">
      <alignment horizontal="center" vertical="center"/>
      <protection locked="0" hidden="0"/>
    </xf>
    <xf numFmtId="2" fontId="75" fillId="20" borderId="44" applyAlignment="1" applyProtection="1" pivotButton="0" quotePrefix="0" xfId="0">
      <alignment horizontal="center" vertical="center"/>
      <protection locked="0" hidden="0"/>
    </xf>
    <xf numFmtId="0" fontId="120" fillId="20" borderId="8" applyAlignment="1" applyProtection="1" pivotButton="0" quotePrefix="0" xfId="0">
      <alignment horizontal="center" vertical="center" wrapText="1"/>
      <protection locked="0" hidden="0"/>
    </xf>
    <xf numFmtId="2" fontId="75" fillId="20" borderId="16" applyAlignment="1" applyProtection="1" pivotButton="0" quotePrefix="0" xfId="0">
      <alignment horizontal="center" vertical="center"/>
      <protection locked="0" hidden="0"/>
    </xf>
    <xf numFmtId="178" fontId="120" fillId="20" borderId="12" applyAlignment="1" applyProtection="1" pivotButton="0" quotePrefix="0" xfId="0">
      <alignment horizontal="center" vertical="center"/>
      <protection locked="0" hidden="0"/>
    </xf>
    <xf numFmtId="178" fontId="120" fillId="20" borderId="23" applyAlignment="1" applyProtection="1" pivotButton="0" quotePrefix="0" xfId="0">
      <alignment horizontal="center" vertical="center"/>
      <protection locked="0" hidden="0"/>
    </xf>
    <xf numFmtId="0" fontId="85" fillId="0" borderId="0" applyAlignment="1" applyProtection="1" pivotButton="0" quotePrefix="0" xfId="0">
      <alignment horizontal="general" vertical="bottom"/>
      <protection locked="0" hidden="0"/>
    </xf>
    <xf numFmtId="178" fontId="120" fillId="20" borderId="25" applyAlignment="1" applyProtection="1" pivotButton="0" quotePrefix="0" xfId="0">
      <alignment horizontal="center" vertical="center"/>
      <protection locked="0" hidden="0"/>
    </xf>
    <xf numFmtId="178" fontId="120" fillId="20" borderId="8" applyAlignment="1" applyProtection="1" pivotButton="0" quotePrefix="0" xfId="0">
      <alignment horizontal="center" vertical="center"/>
      <protection locked="0" hidden="0"/>
    </xf>
    <xf numFmtId="2" fontId="120" fillId="20" borderId="8" applyAlignment="1" applyProtection="1" pivotButton="0" quotePrefix="0" xfId="0">
      <alignment horizontal="center" vertical="center"/>
      <protection locked="0" hidden="0"/>
    </xf>
    <xf numFmtId="0" fontId="123" fillId="4" borderId="0" applyAlignment="1" applyProtection="1" pivotButton="0" quotePrefix="0" xfId="0">
      <alignment horizontal="general" vertical="center" wrapText="1"/>
      <protection locked="0" hidden="0"/>
    </xf>
    <xf numFmtId="0" fontId="5" fillId="0" borderId="0" applyAlignment="1" applyProtection="1" pivotButton="0" quotePrefix="0" xfId="0">
      <alignment horizontal="general" vertical="center" wrapText="1"/>
      <protection locked="0" hidden="0"/>
    </xf>
    <xf numFmtId="0" fontId="123" fillId="0" borderId="0" applyAlignment="1" applyProtection="1" pivotButton="0" quotePrefix="0" xfId="0">
      <alignment horizontal="general" vertical="bottom"/>
      <protection locked="0" hidden="0"/>
    </xf>
    <xf numFmtId="1" fontId="120" fillId="20" borderId="12" applyAlignment="1" applyProtection="1" pivotButton="0" quotePrefix="0" xfId="0">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0" fillId="0" borderId="8" applyAlignment="1" applyProtection="1" pivotButton="0" quotePrefix="0" xfId="0">
      <alignment horizontal="center" vertical="center"/>
      <protection locked="0" hidden="0"/>
    </xf>
    <xf numFmtId="0" fontId="120" fillId="0" borderId="23" applyAlignment="1" applyProtection="1" pivotButton="0" quotePrefix="0" xfId="0">
      <alignment horizontal="center" vertical="center"/>
      <protection locked="0" hidden="0"/>
    </xf>
    <xf numFmtId="0" fontId="135" fillId="4" borderId="76" applyAlignment="1" applyProtection="1" pivotButton="0" quotePrefix="0" xfId="0">
      <alignment horizontal="center" vertical="center"/>
      <protection locked="0" hidden="0"/>
    </xf>
    <xf numFmtId="0" fontId="135" fillId="4" borderId="50" applyAlignment="1" applyProtection="1" pivotButton="0" quotePrefix="0" xfId="0">
      <alignment horizontal="center" vertical="center"/>
      <protection locked="0" hidden="0"/>
    </xf>
    <xf numFmtId="0" fontId="120" fillId="0" borderId="25" applyAlignment="1" applyProtection="1" pivotButton="0" quotePrefix="0" xfId="0">
      <alignment horizontal="center" vertical="center"/>
      <protection locked="0" hidden="0"/>
    </xf>
    <xf numFmtId="1" fontId="120" fillId="20" borderId="21" applyAlignment="1" applyProtection="1" pivotButton="0" quotePrefix="0" xfId="0">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137" fillId="4" borderId="8" applyAlignment="1" applyProtection="1" pivotButton="0" quotePrefix="0" xfId="0">
      <alignment horizontal="center" vertical="center"/>
      <protection locked="0" hidden="0"/>
    </xf>
    <xf numFmtId="0" fontId="133" fillId="4" borderId="52" applyAlignment="1" applyProtection="1" pivotButton="0" quotePrefix="0" xfId="0">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75" fillId="20" borderId="14" applyAlignment="1" applyProtection="1" pivotButton="0" quotePrefix="0" xfId="0">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0" fillId="20" borderId="8" applyAlignment="1" applyProtection="1" pivotButton="0" quotePrefix="0" xfId="0">
      <alignment horizontal="center" vertical="center" wrapText="1"/>
      <protection locked="0" hidden="0"/>
    </xf>
    <xf numFmtId="0" fontId="133" fillId="2" borderId="8" applyAlignment="1" applyProtection="1" pivotButton="0" quotePrefix="0" xfId="0">
      <alignment horizontal="center" vertical="center"/>
      <protection locked="0" hidden="0"/>
    </xf>
    <xf numFmtId="0" fontId="5" fillId="2" borderId="0" applyAlignment="1" applyProtection="1" pivotButton="0" quotePrefix="0" xfId="0">
      <alignment horizontal="general" vertical="bottom"/>
      <protection locked="0" hidden="0"/>
    </xf>
    <xf numFmtId="2" fontId="75" fillId="2" borderId="14" applyAlignment="1" applyProtection="1" pivotButton="0" quotePrefix="0" xfId="0">
      <alignment horizontal="center" vertical="center"/>
      <protection locked="0" hidden="0"/>
    </xf>
    <xf numFmtId="1" fontId="121" fillId="20" borderId="21" applyAlignment="1" applyProtection="1" pivotButton="0" quotePrefix="0" xfId="0">
      <alignment horizontal="center" vertical="center"/>
      <protection locked="0" hidden="0"/>
    </xf>
    <xf numFmtId="2" fontId="138" fillId="20" borderId="44" applyAlignment="1" applyProtection="1" pivotButton="0" quotePrefix="0" xfId="0">
      <alignment horizontal="center" vertical="center"/>
      <protection locked="0" hidden="0"/>
    </xf>
    <xf numFmtId="1" fontId="121" fillId="20" borderId="8" applyAlignment="1" applyProtection="1" pivotButton="0" quotePrefix="0" xfId="0">
      <alignment horizontal="center" vertical="center" wrapText="1"/>
      <protection locked="0" hidden="0"/>
    </xf>
    <xf numFmtId="2" fontId="138" fillId="20" borderId="16" applyAlignment="1" applyProtection="1" pivotButton="0" quotePrefix="0" xfId="0">
      <alignment horizontal="center" vertical="center"/>
      <protection locked="0" hidden="0"/>
    </xf>
    <xf numFmtId="0" fontId="120" fillId="20" borderId="12" applyAlignment="1" applyProtection="1" pivotButton="0" quotePrefix="0" xfId="0">
      <alignment horizontal="center" vertical="center" wrapText="1"/>
      <protection locked="0" hidden="0"/>
    </xf>
    <xf numFmtId="2" fontId="138" fillId="4" borderId="74" applyAlignment="1" applyProtection="1" pivotButton="0" quotePrefix="0" xfId="0">
      <alignment horizontal="center" vertical="center"/>
      <protection locked="0" hidden="0"/>
    </xf>
    <xf numFmtId="0" fontId="121" fillId="4" borderId="52" applyAlignment="1" applyProtection="1" pivotButton="0" quotePrefix="0" xfId="0">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0">
      <alignment horizontal="left" vertical="center" textRotation="90" wrapText="1"/>
      <protection locked="0" hidden="0"/>
    </xf>
    <xf numFmtId="0" fontId="5" fillId="4" borderId="6" applyAlignment="1" applyProtection="1" pivotButton="0" quotePrefix="0" xfId="0">
      <alignment horizontal="left" vertical="center"/>
      <protection locked="0" hidden="0"/>
    </xf>
    <xf numFmtId="0" fontId="5" fillId="0" borderId="6" applyAlignment="1" applyProtection="1" pivotButton="0" quotePrefix="0" xfId="0">
      <alignment horizontal="left" vertical="center"/>
      <protection locked="0" hidden="0"/>
    </xf>
    <xf numFmtId="0" fontId="5" fillId="0" borderId="0" applyAlignment="1" applyProtection="1" pivotButton="0" quotePrefix="0" xfId="0">
      <alignment horizontal="center" vertical="center"/>
      <protection locked="0" hidden="0"/>
    </xf>
    <xf numFmtId="0" fontId="5" fillId="0" borderId="6" applyAlignment="1" applyProtection="1" pivotButton="0" quotePrefix="0" xfId="0">
      <alignment horizontal="left" vertical="center" wrapText="1"/>
      <protection locked="0" hidden="0"/>
    </xf>
    <xf numFmtId="0" fontId="5" fillId="0" borderId="6" applyAlignment="1" applyProtection="1" pivotButton="0" quotePrefix="0" xfId="0">
      <alignment horizontal="left" vertical="bottom" wrapText="1"/>
      <protection locked="0" hidden="0"/>
    </xf>
    <xf numFmtId="0" fontId="5" fillId="4" borderId="6" applyAlignment="1" applyProtection="1" pivotButton="0" quotePrefix="0" xfId="0">
      <alignment horizontal="left" vertical="bottom"/>
      <protection locked="0" hidden="0"/>
    </xf>
    <xf numFmtId="0" fontId="5" fillId="0" borderId="6" applyAlignment="1" applyProtection="1" pivotButton="0" quotePrefix="0" xfId="0">
      <alignment horizontal="left" vertical="bottom"/>
      <protection locked="0" hidden="0"/>
    </xf>
    <xf numFmtId="0" fontId="5" fillId="0" borderId="6" applyAlignment="1" pivotButton="0" quotePrefix="0" xfId="0">
      <alignment horizontal="left" vertical="bottom" wrapText="1"/>
    </xf>
    <xf numFmtId="0" fontId="5" fillId="4" borderId="0" applyAlignment="1" pivotButton="0" quotePrefix="0" xfId="0">
      <alignment horizontal="general" vertical="bottom"/>
    </xf>
    <xf numFmtId="0" fontId="139"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27" applyAlignment="1" pivotButton="0" quotePrefix="0" xfId="0">
      <alignment horizontal="general" vertical="bottom"/>
    </xf>
    <xf numFmtId="2" fontId="0" fillId="41" borderId="27" applyAlignment="1" pivotButton="0" quotePrefix="0" xfId="0">
      <alignment horizontal="general" vertical="bottom"/>
    </xf>
    <xf numFmtId="0" fontId="0" fillId="42" borderId="6" applyAlignment="1" pivotButton="0" quotePrefix="0" xfId="0">
      <alignment horizontal="general" vertical="bottom"/>
    </xf>
    <xf numFmtId="2" fontId="0" fillId="42" borderId="27" applyAlignment="1" pivotButton="0" quotePrefix="0" xfId="0">
      <alignment horizontal="general" vertical="bottom"/>
    </xf>
    <xf numFmtId="0" fontId="0" fillId="43" borderId="6" applyAlignment="1" pivotButton="0" quotePrefix="0" xfId="0">
      <alignment horizontal="general" vertical="bottom"/>
    </xf>
    <xf numFmtId="2" fontId="0" fillId="43" borderId="27" applyAlignment="1" pivotButton="0" quotePrefix="0" xfId="0">
      <alignment horizontal="general" vertical="bottom"/>
    </xf>
    <xf numFmtId="0" fontId="0" fillId="44" borderId="6" applyAlignment="1" pivotButton="0" quotePrefix="0" xfId="0">
      <alignment horizontal="general" vertical="bottom"/>
    </xf>
    <xf numFmtId="2" fontId="0" fillId="44" borderId="27" applyAlignment="1" pivotButton="0" quotePrefix="0" xfId="0">
      <alignment horizontal="general" vertical="bottom"/>
    </xf>
    <xf numFmtId="0" fontId="0" fillId="45" borderId="6" applyAlignment="1" pivotButton="0" quotePrefix="0" xfId="0">
      <alignment horizontal="general" vertical="bottom"/>
    </xf>
    <xf numFmtId="2" fontId="0" fillId="45" borderId="27" applyAlignment="1" pivotButton="0" quotePrefix="0" xfId="0">
      <alignment horizontal="general" vertical="bottom"/>
    </xf>
    <xf numFmtId="0" fontId="0" fillId="46" borderId="6" applyAlignment="1" pivotButton="0" quotePrefix="0" xfId="0">
      <alignment horizontal="general" vertical="bottom"/>
    </xf>
    <xf numFmtId="2" fontId="0" fillId="46" borderId="27" applyAlignment="1" pivotButton="0" quotePrefix="0" xfId="0">
      <alignment horizontal="general" vertical="bottom"/>
    </xf>
    <xf numFmtId="0" fontId="0" fillId="47" borderId="6" applyAlignment="1" pivotButton="0" quotePrefix="0" xfId="0">
      <alignment horizontal="general" vertical="bottom"/>
    </xf>
    <xf numFmtId="2" fontId="0" fillId="47" borderId="27" applyAlignment="1" pivotButton="0" quotePrefix="0" xfId="0">
      <alignment horizontal="general" vertical="bottom"/>
    </xf>
    <xf numFmtId="0" fontId="0" fillId="48" borderId="6" applyAlignment="1" pivotButton="0" quotePrefix="0" xfId="0">
      <alignment horizontal="general" vertical="bottom"/>
    </xf>
    <xf numFmtId="2" fontId="0" fillId="48" borderId="27" applyAlignment="1" pivotButton="0" quotePrefix="0" xfId="0">
      <alignment horizontal="general" vertical="bottom"/>
    </xf>
    <xf numFmtId="0" fontId="0" fillId="49" borderId="6" applyAlignment="1" pivotButton="0" quotePrefix="0" xfId="0">
      <alignment horizontal="general" vertical="bottom"/>
    </xf>
    <xf numFmtId="2" fontId="0" fillId="49" borderId="27" applyAlignment="1" pivotButton="0" quotePrefix="0" xfId="0">
      <alignment horizontal="general" vertical="bottom"/>
    </xf>
    <xf numFmtId="0" fontId="0" fillId="50" borderId="6" applyAlignment="1" pivotButton="0" quotePrefix="0" xfId="0">
      <alignment horizontal="general" vertical="bottom"/>
    </xf>
    <xf numFmtId="2" fontId="0" fillId="50" borderId="27" applyAlignment="1" pivotButton="0" quotePrefix="0" xfId="0">
      <alignment horizontal="general" vertical="bottom"/>
    </xf>
  </cellXfs>
  <cellStyles count="18">
    <cellStyle name="Normal" xfId="0" builtinId="0"/>
    <cellStyle name="Comma" xfId="1" builtinId="3"/>
    <cellStyle name="Comma [0]" xfId="2" builtinId="6"/>
    <cellStyle name="Currency" xfId="3" builtinId="4"/>
    <cellStyle name="Currency [0]" xfId="4" builtinId="7"/>
    <cellStyle name="Percent" xfId="5" builtinId="5"/>
    <cellStyle name="Comma 2" xfId="6"/>
    <cellStyle name="Hyperlink 2" xfId="7"/>
    <cellStyle name="Normal 12" xfId="8"/>
    <cellStyle name="Normal 19 2" xfId="9"/>
    <cellStyle name="Normal 2" xfId="10"/>
    <cellStyle name="Normal 2 2" xfId="11"/>
    <cellStyle name="Normal 2 2 2" xfId="12"/>
    <cellStyle name="Normal 2 3 2" xfId="13"/>
    <cellStyle name="Normal 3" xfId="14"/>
    <cellStyle name="Normal 3 2 2" xfId="15"/>
    <cellStyle name="Normal 3 4" xfId="16"/>
    <cellStyle name="Normal_Sheet1" xfId="17"/>
  </cellStyles>
  <colors>
    <indexedColors>
      <rgbColor rgb="FF000000"/>
      <rgbColor rgb="FFFFFFFF"/>
      <rgbColor rgb="FFFF0000"/>
      <rgbColor rgb="FFC0E2DA"/>
      <rgbColor rgb="FF0000FF"/>
      <rgbColor rgb="FFFFFF00"/>
      <rgbColor rgb="FFE3C7DB"/>
      <rgbColor rgb="FFBEDED8"/>
      <rgbColor rgb="FFD8D6CC"/>
      <rgbColor rgb="FFBED0E9"/>
      <rgbColor rgb="FFE1DFE6"/>
      <rgbColor rgb="FFBFBFBF"/>
      <rgbColor rgb="FFE2CCC2"/>
      <rgbColor rgb="FFBBC7C0"/>
      <rgbColor rgb="FFC0C0C0"/>
      <rgbColor rgb="FF808080"/>
      <rgbColor rgb="FFB5B8CD"/>
      <rgbColor rgb="FFC7BACE"/>
      <rgbColor rgb="FFF2F2F2"/>
      <rgbColor rgb="FFE1EFED"/>
      <rgbColor rgb="FFE3CCEA"/>
      <rgbColor rgb="FFDDBDD0"/>
      <rgbColor rgb="FF1A589A"/>
      <rgbColor rgb="FFC3C7E6"/>
      <rgbColor rgb="FFFBE5D6"/>
      <rgbColor rgb="FFE4C7CE"/>
      <rgbColor rgb="FFECE8C1"/>
      <rgbColor rgb="FFBDD7EE"/>
      <rgbColor rgb="FFE9CACD"/>
      <rgbColor rgb="FFD9D9D9"/>
      <rgbColor rgb="FFBECBBD"/>
      <rgbColor rgb="FFE2D7E1"/>
      <rgbColor rgb="FFBAD7E3"/>
      <rgbColor rgb="FFC5E0E5"/>
      <rgbColor rgb="FFC4EACB"/>
      <rgbColor rgb="FFE3EBBA"/>
      <rgbColor rgb="FFB4C7E7"/>
      <rgbColor rgb="FFDEB6D8"/>
      <rgbColor rgb="FFCDB5CD"/>
      <rgbColor rgb="FFF8CBAD"/>
      <rgbColor rgb="FFBEBCE9"/>
      <rgbColor rgb="FFA9D18E"/>
      <rgbColor rgb="FFB2ED07"/>
      <rgbColor rgb="FFFFCC00"/>
      <rgbColor rgb="FFCACAB5"/>
      <rgbColor rgb="FFFF6600"/>
      <rgbColor rgb="FF44546A"/>
      <rgbColor rgb="FF7F7F7F"/>
      <rgbColor rgb="FFD4D4BD"/>
      <rgbColor rgb="FF02A440"/>
      <rgbColor rgb="FFDBDBDB"/>
      <rgbColor rgb="FFCFCCDD"/>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styles" Target="styles.xml" Id="rId207" /><Relationship Type="http://schemas.openxmlformats.org/officeDocument/2006/relationships/theme" Target="theme/theme1.xml" Id="rId208" /><Relationship Type="http://schemas.microsoft.com/office/2006/relationships/vbaProject" Target="vbaProject.bin" Id="rId209"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2263680</colOff>
      <row>6</row>
      <rowOff>548640</rowOff>
    </to>
    <pic>
      <nvPicPr>
        <cNvPr id="1" name="Picture 1"/>
        <cNvPicPr/>
      </nvPicPr>
      <blipFill>
        <a:blip r:embed="rId1"/>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2" name="Picture 2"/>
        <cNvPicPr/>
      </nvPicPr>
      <blipFill>
        <a:blip r:embed="rId2"/>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3" name="Picture 3"/>
        <cNvPicPr/>
      </nvPicPr>
      <blipFill>
        <a:blip r:embed="rId3"/>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4" name="Picture 4"/>
        <cNvPicPr/>
      </nvPicPr>
      <blipFill>
        <a:blip r:embed="rId4"/>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5" name="Picture 5"/>
        <cNvPicPr/>
      </nvPicPr>
      <blipFill>
        <a:blip r:embed="rId5"/>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6" name="Picture 7"/>
        <cNvPicPr/>
      </nvPicPr>
      <blipFill>
        <a:blip r:embed="rId6"/>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7" name="Picture 6"/>
        <cNvPicPr/>
      </nvPicPr>
      <blipFill>
        <a:blip r:embed="rId7"/>
        <a:stretch>
          <a:fillRect/>
        </a:stretch>
      </blipFill>
      <spPr>
        <a:xfrm>
          <a:off x="11334600" y="1576800"/>
          <a:ext cx="1081440" cy="40068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123840</colOff>
      <row>0</row>
      <rowOff>699840</rowOff>
    </to>
    <pic>
      <nvPicPr>
        <cNvPr id="8" name="Picture 1"/>
        <cNvPicPr/>
      </nvPicPr>
      <blipFill>
        <a:blip r:embed="rId1"/>
        <a:srcRect l="13234" t="33453" r="19434" b="30036"/>
        <a:stretch>
          <a:fillRect/>
        </a:stretch>
      </blipFill>
      <spPr>
        <a:xfrm>
          <a:off x="0" y="163080"/>
          <a:ext cx="887760" cy="536760"/>
        </a:xfrm>
        <a:prstGeom prst="rect">
          <avLst/>
        </a:prstGeom>
        <a:noFill/>
        <a:ln w="0">
          <a:noFill/>
          <a:prstDash val="solid"/>
        </a:ln>
      </spPr>
    </pic>
    <clientData/>
  </twoCellAnchor>
  <twoCellAnchor editAs="oneCell">
    <from>
      <col>18</col>
      <colOff>312480</colOff>
      <row>0</row>
      <rowOff>45720</rowOff>
    </from>
    <to>
      <col>18</col>
      <colOff>1721520</colOff>
      <row>0</row>
      <rowOff>638640</rowOff>
    </to>
    <pic>
      <nvPicPr>
        <cNvPr id="9" name="Picture 3"/>
        <cNvPicPr/>
      </nvPicPr>
      <blipFill>
        <a:blip r:embed="rId2"/>
        <a:stretch>
          <a:fillRect/>
        </a:stretch>
      </blipFill>
      <spPr>
        <a:xfrm>
          <a:off x="10127520" y="45720"/>
          <a:ext cx="1409040" cy="59292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743400</colOff>
      <row>0</row>
      <rowOff>748440</rowOff>
    </to>
    <pic>
      <nvPicPr>
        <cNvPr id="10" name="Picture 1"/>
        <cNvPicPr/>
      </nvPicPr>
      <blipFill>
        <a:blip r:embed="rId1"/>
        <a:stretch>
          <a:fillRect/>
        </a:stretch>
      </blipFill>
      <spPr>
        <a:xfrm>
          <a:off x="35280" y="46800"/>
          <a:ext cx="1837080" cy="70164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1002600</colOff>
      <row>6</row>
      <rowOff>178560</rowOff>
    </to>
    <pic>
      <nvPicPr>
        <cNvPr id="11" name="Picture 1"/>
        <cNvPicPr/>
      </nvPicPr>
      <blipFill>
        <a:blip r:embed="rId1"/>
        <a:stretch>
          <a:fillRect/>
        </a:stretch>
      </blipFill>
      <spPr>
        <a:xfrm>
          <a:off x="13295880" y="66600"/>
          <a:ext cx="802440" cy="111204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782280</colOff>
      <row>11</row>
      <rowOff>54000</rowOff>
    </to>
    <pic>
      <nvPicPr>
        <cNvPr id="12" name="Picture 3"/>
        <cNvPicPr/>
      </nvPicPr>
      <blipFill>
        <a:blip r:embed="rId1"/>
        <a:stretch>
          <a:fillRect/>
        </a:stretch>
      </blipFill>
      <spPr>
        <a:xfrm>
          <a:off x="10098360" y="1779840"/>
          <a:ext cx="3512160" cy="1655640"/>
        </a:xfrm>
        <a:prstGeom prst="rect">
          <avLst/>
        </a:prstGeom>
        <a:noFill/>
        <a:ln w="0">
          <a:noFill/>
          <a:prstDash val="solid"/>
        </a:ln>
      </spPr>
    </pic>
    <clientData/>
  </twoCellAnchor>
  <twoCellAnchor editAs="oneCell">
    <from>
      <col>0</col>
      <colOff>360360</colOff>
      <row>0</row>
      <rowOff>79200</rowOff>
    </from>
    <to>
      <col>0</col>
      <colOff>1073880</colOff>
      <row>0</row>
      <rowOff>613080</rowOff>
    </to>
    <pic>
      <nvPicPr>
        <cNvPr id="13" name="Picture 3"/>
        <cNvPicPr/>
      </nvPicPr>
      <blipFill>
        <a:blip r:embed="rId2"/>
        <a:srcRect l="13395" t="33200" r="19434" b="30923"/>
        <a:stretch>
          <a:fillRect/>
        </a:stretch>
      </blipFill>
      <spPr>
        <a:xfrm>
          <a:off x="360360" y="79200"/>
          <a:ext cx="713520" cy="533880"/>
        </a:xfrm>
        <a:prstGeom prst="rect">
          <avLst/>
        </a:prstGeom>
        <a:noFill/>
        <a:ln w="0">
          <a:noFill/>
          <a:prstDash val="solid"/>
        </a:ln>
      </spPr>
    </pic>
    <clientData/>
  </twoCellAnchor>
  <twoCellAnchor editAs="oneCell">
    <from>
      <col>11</col>
      <colOff>507960</colOff>
      <row>0</row>
      <rowOff>21240</rowOff>
    </from>
    <to>
      <col>12</col>
      <colOff>118080</colOff>
      <row>0</row>
      <rowOff>747000</rowOff>
    </to>
    <pic>
      <nvPicPr>
        <cNvPr id="14" name="Picture 4"/>
        <cNvPicPr/>
      </nvPicPr>
      <blipFill>
        <a:blip r:embed="rId3"/>
        <a:stretch>
          <a:fillRect/>
        </a:stretch>
      </blipFill>
      <spPr>
        <a:xfrm>
          <a:off x="12322800" y="21240"/>
          <a:ext cx="623520" cy="72576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573120</colOff>
      <row>5</row>
      <rowOff>214920</rowOff>
    </to>
    <pic>
      <nvPicPr>
        <cNvPr id="15" name="Picture 1"/>
        <cNvPicPr/>
      </nvPicPr>
      <blipFill>
        <a:blip r:embed="rId1"/>
        <a:stretch>
          <a:fillRect/>
        </a:stretch>
      </blipFill>
      <spPr>
        <a:xfrm>
          <a:off x="14732640" y="112680"/>
          <a:ext cx="921600" cy="1073880"/>
        </a:xfrm>
        <a:prstGeom prst="rect">
          <avLst/>
        </a:prstGeom>
        <a:noFill/>
        <a:ln w="0">
          <a:noFill/>
          <a:prstDash val="solid"/>
        </a:ln>
      </spPr>
    </pic>
    <clientData/>
  </twoCellAnchor>
  <twoCellAnchor editAs="oneCell">
    <from>
      <col>1</col>
      <colOff>200160</colOff>
      <row>1</row>
      <rowOff>0</rowOff>
    </from>
    <to>
      <col>1</col>
      <colOff>1628280</colOff>
      <row>5</row>
      <rowOff>158040</rowOff>
    </to>
    <pic>
      <nvPicPr>
        <cNvPr id="16" name="Graphic 2"/>
        <cNvPicPr/>
      </nvPicPr>
      <blipFill>
        <a:blip r:embed="rId2"/>
        <a:stretch>
          <a:fillRect/>
        </a:stretch>
      </blipFill>
      <spPr>
        <a:xfrm>
          <a:off x="333000" y="85680"/>
          <a:ext cx="1428120" cy="104400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263160</colOff>
      <row>0</row>
      <rowOff>538560</rowOff>
    </to>
    <pic>
      <nvPicPr>
        <cNvPr id="17" name="Picture 2"/>
        <cNvPicPr/>
      </nvPicPr>
      <blipFill>
        <a:blip r:embed="rId1"/>
        <a:srcRect l="13234" t="33453" r="19434" b="30036"/>
        <a:stretch>
          <a:fillRect/>
        </a:stretch>
      </blipFill>
      <spPr>
        <a:xfrm>
          <a:off x="273600" y="59040"/>
          <a:ext cx="677160" cy="479520"/>
        </a:xfrm>
        <a:prstGeom prst="rect">
          <avLst/>
        </a:prstGeom>
        <a:noFill/>
        <a:ln w="0">
          <a:noFill/>
          <a:prstDash val="solid"/>
        </a:ln>
      </spPr>
    </pic>
    <clientData/>
  </twoCellAnchor>
  <twoCellAnchor editAs="oneCell">
    <from>
      <col>9</col>
      <colOff>360720</colOff>
      <row>0</row>
      <rowOff>23400</rowOff>
    </from>
    <to>
      <col>10</col>
      <colOff>80640</colOff>
      <row>0</row>
      <rowOff>556200</rowOff>
    </to>
    <pic>
      <nvPicPr>
        <cNvPr id="18" name="Picture 3"/>
        <cNvPicPr/>
      </nvPicPr>
      <blipFill>
        <a:blip r:embed="rId2"/>
        <a:stretch>
          <a:fillRect/>
        </a:stretch>
      </blipFill>
      <spPr>
        <a:xfrm>
          <a:off x="7747560" y="23400"/>
          <a:ext cx="457920" cy="53280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422640</colOff>
      <row>8</row>
      <rowOff>69840</rowOff>
    </to>
    <pic>
      <nvPicPr>
        <cNvPr id="19" name="Picture 1" descr="ADNOC_206bac93-7ae2-4997-9240-58189f455a65"/>
        <cNvPicPr/>
      </nvPicPr>
      <blipFill>
        <a:blip r:embed="rId1"/>
        <a:stretch>
          <a:fillRect/>
        </a:stretch>
      </blipFill>
      <spPr>
        <a:xfrm>
          <a:off x="135000" y="301680"/>
          <a:ext cx="1389960" cy="1149120"/>
        </a:xfrm>
        <a:prstGeom prst="rect">
          <avLst/>
        </a:prstGeom>
        <a:noFill/>
        <a:ln w="0">
          <a:noFill/>
          <a:prstDash val="solid"/>
        </a:ln>
      </spPr>
    </pic>
    <clientData/>
  </twoCellAnchor>
  <twoCellAnchor editAs="oneCell">
    <from>
      <col>9</col>
      <colOff>899640</colOff>
      <row>1</row>
      <rowOff>149760</rowOff>
    </from>
    <to>
      <col>12</col>
      <colOff>560880</colOff>
      <row>8</row>
      <rowOff>64800</rowOff>
    </to>
    <pic>
      <nvPicPr>
        <cNvPr id="20" name="Picture 2"/>
        <cNvPicPr/>
      </nvPicPr>
      <blipFill>
        <a:blip r:embed="rId2"/>
        <a:stretch>
          <a:fillRect/>
        </a:stretch>
      </blipFill>
      <spPr>
        <a:xfrm>
          <a:off x="8153280" y="311760"/>
          <a:ext cx="2755440" cy="113400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2345040</colOff>
      <row>0</row>
      <rowOff>354960</rowOff>
    </to>
    <pic>
      <nvPicPr>
        <cNvPr id="21" name="Picture 2"/>
        <cNvPicPr/>
      </nvPicPr>
      <blipFill>
        <a:blip r:embed="rId1"/>
        <a:srcRect l="13217" t="33481" r="19451" b="30039"/>
        <a:stretch>
          <a:fillRect/>
        </a:stretch>
      </blipFill>
      <spPr>
        <a:xfrm>
          <a:off x="641520" y="114480"/>
          <a:ext cx="1703520" cy="240480"/>
        </a:xfrm>
        <a:prstGeom prst="rect">
          <avLst/>
        </a:prstGeom>
        <a:noFill/>
        <a:ln w="0">
          <a:noFill/>
          <a:prstDash val="solid"/>
        </a:ln>
      </spPr>
    </pic>
    <clientData/>
  </twoCellAnchor>
  <twoCellAnchor editAs="oneCell">
    <from>
      <col>8</col>
      <colOff>1500840</colOff>
      <row>411</row>
      <rowOff>482760</rowOff>
    </from>
    <to>
      <col>9</col>
      <colOff>905760</colOff>
      <row>411</row>
      <rowOff>1396440</rowOff>
    </to>
    <pic>
      <nvPicPr>
        <cNvPr id="22" name="Graphic 2" descr="Bar graph with downward trend with solid fill"/>
        <cNvPicPr/>
      </nvPicPr>
      <blipFill>
        <a:blip r:embed="rId2"/>
        <a:stretch>
          <a:fillRect/>
        </a:stretch>
      </blipFill>
      <spPr>
        <a:xfrm>
          <a:off x="24222960" y="268525800"/>
          <a:ext cx="907560" cy="913680"/>
        </a:xfrm>
        <a:prstGeom prst="rect">
          <avLst/>
        </a:prstGeom>
        <a:noFill/>
        <a:ln w="0">
          <a:noFill/>
          <a:prstDash val="solid"/>
        </a:ln>
      </spPr>
    </pic>
    <clientData/>
  </twoCellAnchor>
  <twoCellAnchor editAs="oneCell">
    <from>
      <col>8</col>
      <colOff>1371600</colOff>
      <row>408</row>
      <rowOff>294480</rowOff>
    </from>
    <to>
      <col>9</col>
      <colOff>776520</colOff>
      <row>408</row>
      <rowOff>1208160</rowOff>
    </to>
    <pic>
      <nvPicPr>
        <cNvPr id="23" name="Graphic 3" descr="Bar graph with upward trend with solid fill"/>
        <cNvPicPr/>
      </nvPicPr>
      <blipFill>
        <a:blip r:embed="rId3"/>
        <a:stretch>
          <a:fillRect/>
        </a:stretch>
      </blipFill>
      <spPr>
        <a:xfrm>
          <a:off x="24093720" y="261346320"/>
          <a:ext cx="907560" cy="913680"/>
        </a:xfrm>
        <a:prstGeom prst="rect">
          <avLst/>
        </a:prstGeom>
        <a:noFill/>
        <a:ln w="0">
          <a:noFill/>
          <a:prstDash val="solid"/>
        </a:ln>
      </spPr>
    </pic>
    <clientData/>
  </twoCellAnchor>
  <twoCellAnchor editAs="oneCell">
    <from>
      <col>8</col>
      <colOff>1500840</colOff>
      <row>409</row>
      <rowOff>871560</rowOff>
    </from>
    <to>
      <col>9</col>
      <colOff>905760</colOff>
      <row>409</row>
      <rowOff>1778760</rowOff>
    </to>
    <pic>
      <nvPicPr>
        <cNvPr id="24" name="Graphic 4" descr="Baseball with solid fill"/>
        <cNvPicPr/>
      </nvPicPr>
      <blipFill>
        <a:blip r:embed="rId4"/>
        <a:stretch>
          <a:fillRect/>
        </a:stretch>
      </blipFill>
      <spPr>
        <a:xfrm>
          <a:off x="24222960" y="263561400"/>
          <a:ext cx="907560" cy="907200"/>
        </a:xfrm>
        <a:prstGeom prst="rect">
          <avLst/>
        </a:prstGeom>
        <a:noFill/>
        <a:ln w="0">
          <a:noFill/>
          <a:prstDash val="solid"/>
        </a:ln>
      </spPr>
    </pic>
    <clientData/>
  </twoCellAnchor>
  <twoCellAnchor editAs="oneCell">
    <from>
      <col>8</col>
      <colOff>1500840</colOff>
      <row>410</row>
      <rowOff>871560</rowOff>
    </from>
    <to>
      <col>9</col>
      <colOff>912240</colOff>
      <row>410</row>
      <rowOff>1785240</rowOff>
    </to>
    <pic>
      <nvPicPr>
        <cNvPr id="25" name="Graphic 5" descr="Baseball with solid fill"/>
        <cNvPicPr/>
      </nvPicPr>
      <blipFill>
        <a:blip r:embed="rId5"/>
        <a:stretch>
          <a:fillRect/>
        </a:stretch>
      </blipFill>
      <spPr>
        <a:xfrm>
          <a:off x="24222960" y="266095080"/>
          <a:ext cx="914040" cy="913680"/>
        </a:xfrm>
        <a:prstGeom prst="rect">
          <avLst/>
        </a:prstGeom>
        <a:noFill/>
        <a:ln w="0">
          <a:noFill/>
          <a:prstDash val="solid"/>
        </a:ln>
      </spPr>
    </pic>
    <clientData/>
  </twoCellAnchor>
  <twoCellAnchor editAs="oneCell">
    <from>
      <col>8</col>
      <colOff>1500840</colOff>
      <row>412</row>
      <rowOff>871560</rowOff>
    </from>
    <to>
      <col>9</col>
      <colOff>912240</colOff>
      <row>412</row>
      <rowOff>1785240</rowOff>
    </to>
    <pic>
      <nvPicPr>
        <cNvPr id="26" name="Graphic 6" descr="Baseball with solid fill"/>
        <cNvPicPr/>
      </nvPicPr>
      <blipFill>
        <a:blip r:embed="rId6"/>
        <a:stretch>
          <a:fillRect/>
        </a:stretch>
      </blipFill>
      <spPr>
        <a:xfrm>
          <a:off x="24222960" y="271381680"/>
          <a:ext cx="914040" cy="913680"/>
        </a:xfrm>
        <a:prstGeom prst="rect">
          <avLst/>
        </a:prstGeom>
        <a:noFill/>
        <a:ln w="0">
          <a:noFill/>
          <a:prstDash val="solid"/>
        </a:ln>
      </spPr>
    </pic>
    <clientData/>
  </twoCellAnchor>
  <twoCellAnchor editAs="oneCell">
    <from>
      <col>8</col>
      <colOff>1500840</colOff>
      <row>413</row>
      <rowOff>0</rowOff>
    </from>
    <to>
      <col>9</col>
      <colOff>912240</colOff>
      <row>414</row>
      <rowOff>408960</rowOff>
    </to>
    <pic>
      <nvPicPr>
        <cNvPr id="27" name="Graphic 7" descr="Baseball with solid fill"/>
        <cNvPicPr/>
      </nvPicPr>
      <blipFill>
        <a:blip r:embed="rId7"/>
        <a:stretch>
          <a:fillRect/>
        </a:stretch>
      </blipFill>
      <spPr>
        <a:xfrm>
          <a:off x="24222960" y="272586600"/>
          <a:ext cx="914040" cy="91368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1.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3.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4.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5.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6.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7.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8.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89.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0.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1.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2.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3.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3"/>
  <sheetViews>
    <sheetView showFormulas="0" showGridLines="1" showRowColHeaders="1" showZeros="1" rightToLeft="0" tabSelected="0" showOutlineSymbols="1" defaultGridColor="1" view="pageBreakPreview" topLeftCell="A1" colorId="64" zoomScale="140" zoomScaleNormal="85" zoomScalePageLayoutView="140" workbookViewId="0">
      <selection pane="topLeft" activeCell="G13" activeCellId="0" sqref="A11:S69"/>
    </sheetView>
  </sheetViews>
  <sheetFormatPr baseColWidth="8" defaultColWidth="9.22265625" defaultRowHeight="14.25" customHeight="0" zeroHeight="0" outlineLevelRow="0"/>
  <cols>
    <col width="21.22" customWidth="1" style="861" min="1" max="1"/>
    <col width="14.22" customWidth="1" style="861" min="2" max="2"/>
    <col width="15.22" customWidth="1" style="861" min="3" max="3"/>
    <col width="33.78" customWidth="1" style="861" min="4" max="4"/>
    <col width="21.22" customWidth="1" style="861" min="5" max="6"/>
    <col width="34.11" customWidth="1" style="861" min="7" max="7"/>
    <col width="16.22" customWidth="1" style="861" min="8" max="8"/>
    <col width="22.78" customWidth="1" style="861" min="9" max="9"/>
    <col width="9.220000000000001" customWidth="1" style="861" min="10" max="16384"/>
  </cols>
  <sheetData>
    <row r="1" ht="18" customHeight="1" s="862">
      <c r="A1" s="863" t="n"/>
      <c r="B1" s="864" t="n"/>
      <c r="C1" s="865" t="inlineStr">
        <is>
          <t>COMPLETION ASSEMBLY INSTALLATION / CONSUMPTION RECORD SHEET</t>
        </is>
      </c>
      <c r="D1" s="866" t="n"/>
      <c r="E1" s="866" t="n"/>
      <c r="F1" s="866" t="n"/>
      <c r="G1" s="867" t="n"/>
      <c r="H1" s="868" t="inlineStr">
        <is>
          <t>DT 15949454</t>
        </is>
      </c>
      <c r="I1" s="867" t="n"/>
    </row>
    <row r="2" ht="15" customHeight="1" s="862">
      <c r="A2" s="869" t="inlineStr">
        <is>
          <t>CUSTOMER :</t>
        </is>
      </c>
      <c r="B2" s="870" t="n"/>
      <c r="C2" s="871" t="inlineStr">
        <is>
          <t>ADNOC ONSHORE</t>
        </is>
      </c>
      <c r="D2" s="872" t="n"/>
      <c r="E2" s="873" t="inlineStr">
        <is>
          <t>FIELD :</t>
        </is>
      </c>
      <c r="F2" s="874" t="inlineStr">
        <is>
          <t>AD-237</t>
        </is>
      </c>
      <c r="G2" s="875" t="n"/>
      <c r="H2" s="875" t="n"/>
      <c r="I2" s="876" t="n"/>
    </row>
    <row r="3" ht="14.25" customHeight="1" s="862">
      <c r="A3" s="877" t="inlineStr">
        <is>
          <t>WORK ORDER NUMBER</t>
        </is>
      </c>
      <c r="B3" s="872" t="n"/>
      <c r="C3" s="871" t="inlineStr">
        <is>
          <t>4700014396</t>
        </is>
      </c>
      <c r="D3" s="872" t="n"/>
      <c r="E3" s="878" t="inlineStr">
        <is>
          <t>CONTRACT NUMBER</t>
        </is>
      </c>
      <c r="F3" s="879" t="inlineStr">
        <is>
          <t>FTASM 1706-B</t>
        </is>
      </c>
      <c r="G3" s="875" t="n"/>
      <c r="H3" s="875" t="n"/>
      <c r="I3" s="876" t="n"/>
    </row>
    <row r="4" ht="14.25" customHeight="1" s="862">
      <c r="A4" s="880" t="inlineStr">
        <is>
          <t>Installation :</t>
        </is>
      </c>
      <c r="B4" s="872" t="n"/>
      <c r="C4" s="881" t="inlineStr">
        <is>
          <t>02-Jul-26</t>
        </is>
      </c>
      <c r="D4" s="872" t="n"/>
      <c r="E4" s="882" t="inlineStr">
        <is>
          <t>Reported By :</t>
        </is>
      </c>
      <c r="F4" s="883" t="inlineStr">
        <is>
          <t xml:space="preserve">DRILLING SUPERVISOR </t>
        </is>
      </c>
      <c r="G4" s="875" t="n"/>
      <c r="H4" s="875" t="n"/>
      <c r="I4" s="876" t="n"/>
    </row>
    <row r="5" ht="25.5" customHeight="1" s="862">
      <c r="A5" s="880" t="inlineStr">
        <is>
          <t>Date :</t>
        </is>
      </c>
      <c r="B5" s="872" t="n"/>
      <c r="C5" s="881" t="inlineStr">
        <is>
          <t>24-Jul-26</t>
        </is>
      </c>
      <c r="D5" s="872" t="n"/>
      <c r="E5" s="882" t="inlineStr">
        <is>
          <t>Production Commitment No. :</t>
        </is>
      </c>
      <c r="F5" s="884" t="inlineStr">
        <is>
          <t>4200761193</t>
        </is>
      </c>
      <c r="G5" s="875" t="n"/>
      <c r="H5" s="875" t="n"/>
      <c r="I5" s="876" t="n"/>
    </row>
    <row r="6" ht="25.5" customHeight="1" s="862">
      <c r="A6" s="880" t="inlineStr">
        <is>
          <t>Client's Representative Name:</t>
        </is>
      </c>
      <c r="B6" s="872" t="n"/>
      <c r="C6" s="885" t="n"/>
      <c r="D6" s="872" t="n"/>
      <c r="E6" s="882" t="inlineStr">
        <is>
          <t>Weatherford's
Representative Name:</t>
        </is>
      </c>
      <c r="F6" s="886" t="inlineStr">
        <is>
          <t>Mahmoud Ali</t>
        </is>
      </c>
      <c r="G6" s="875" t="n"/>
      <c r="H6" s="875" t="n"/>
      <c r="I6" s="876" t="n"/>
    </row>
    <row r="7" ht="52.5" customHeight="1" s="862">
      <c r="A7" s="887" t="inlineStr">
        <is>
          <t>Client's Representative Sign.:</t>
        </is>
      </c>
      <c r="B7" s="888" t="n"/>
      <c r="C7" s="889" t="n"/>
      <c r="D7" s="888" t="n"/>
      <c r="E7" s="890" t="inlineStr">
        <is>
          <t>Weatherford's
Representative Sign.:</t>
        </is>
      </c>
      <c r="F7" s="891" t="n">
        <v>0</v>
      </c>
      <c r="G7" s="892" t="n"/>
      <c r="H7" s="892" t="n"/>
      <c r="I7" s="893" t="n"/>
    </row>
    <row r="8" ht="15" customHeight="1" s="862">
      <c r="A8" s="894" t="n"/>
      <c r="B8" s="895" t="n"/>
      <c r="C8" s="895" t="n"/>
      <c r="D8" s="895" t="n"/>
      <c r="E8" s="896" t="inlineStr">
        <is>
          <t xml:space="preserve">*THE FOLLOWING ASSEMBLIES ARE TO BE SHIPPED TO : </t>
        </is>
      </c>
      <c r="F8" s="897" t="n"/>
      <c r="G8" s="897" t="n"/>
      <c r="H8" s="898" t="n"/>
      <c r="I8" s="899" t="inlineStr">
        <is>
          <t>AD-237</t>
        </is>
      </c>
    </row>
    <row r="9" ht="15" customHeight="1" s="862">
      <c r="A9" s="900" t="n"/>
      <c r="B9" s="901" t="n"/>
      <c r="C9" s="901" t="n"/>
      <c r="D9" s="901" t="n"/>
      <c r="E9" s="902" t="inlineStr">
        <is>
          <t xml:space="preserve">*THE FOLLOWING ASSEMBLIES HAVE BEEN RUN IN : </t>
        </is>
      </c>
      <c r="F9" s="892" t="n"/>
      <c r="G9" s="892" t="n"/>
      <c r="H9" s="888" t="n"/>
      <c r="I9" s="899" t="inlineStr">
        <is>
          <t>BB-1309</t>
        </is>
      </c>
    </row>
    <row r="10" ht="25.5" customHeight="1" s="862">
      <c r="A10" s="903" t="inlineStr">
        <is>
          <t>PC LINE ITEM NO.</t>
        </is>
      </c>
      <c r="B10" s="903" t="inlineStr">
        <is>
          <t>MATERIAL REQUISITION</t>
        </is>
      </c>
      <c r="C10" s="903" t="inlineStr">
        <is>
          <t>SAP MATERIAL NUMBER</t>
        </is>
      </c>
      <c r="D10" s="904" t="inlineStr">
        <is>
          <t>ADNOC DESCRIPTION</t>
        </is>
      </c>
      <c r="E10" s="904" t="inlineStr">
        <is>
          <t>WEATHERFORD
Part No:</t>
        </is>
      </c>
      <c r="F10" s="904" t="inlineStr">
        <is>
          <t>Serial Number</t>
        </is>
      </c>
      <c r="G10" s="904" t="inlineStr">
        <is>
          <t>DESCRIPTION</t>
        </is>
      </c>
      <c r="H10" s="904" t="inlineStr">
        <is>
          <t>QUANTITY</t>
        </is>
      </c>
      <c r="I10" s="905" t="inlineStr">
        <is>
          <t>COMMENTS</t>
        </is>
      </c>
    </row>
    <row r="11" ht="44.25" customFormat="1" customHeight="1" s="906">
      <c r="A11" s="907" t="inlineStr">
        <is>
          <t>N/A</t>
        </is>
      </c>
      <c r="B11" s="907" t="inlineStr">
        <is>
          <t>N/A</t>
        </is>
      </c>
      <c r="C11" s="908" t="inlineStr">
        <is>
          <t>N/A</t>
        </is>
      </c>
      <c r="D11" s="907" t="inlineStr">
        <is>
          <t>BASKET, EQUIPMENT OFFSHORE</t>
        </is>
      </c>
      <c r="E11" s="909" t="inlineStr">
        <is>
          <t>237531</t>
        </is>
      </c>
      <c r="F11" s="909" t="inlineStr">
        <is>
          <t>CON-TAC21-06</t>
        </is>
      </c>
      <c r="G11" s="907" t="inlineStr">
        <is>
          <t>BASKET, EQUIPMENT OFFSHORE</t>
        </is>
      </c>
      <c r="H11" s="909" t="n">
        <v>1</v>
      </c>
      <c r="I11" s="909" t="inlineStr">
        <is>
          <t>SUCCESSFULLY RIH</t>
        </is>
      </c>
    </row>
    <row r="12" ht="44.25" customFormat="1" customHeight="1" s="906">
      <c r="A12" s="907" t="inlineStr">
        <is>
          <t>N/A</t>
        </is>
      </c>
      <c r="B12" s="907" t="inlineStr">
        <is>
          <t>N/A</t>
        </is>
      </c>
      <c r="C12" s="908" t="inlineStr">
        <is>
          <t>N/A</t>
        </is>
      </c>
      <c r="D12" s="907" t="inlineStr">
        <is>
          <t>TOOLBOX, OFFSHORE - WELLSITE</t>
        </is>
      </c>
      <c r="E12" s="909" t="inlineStr">
        <is>
          <t>3027199</t>
        </is>
      </c>
      <c r="F12" s="909" t="inlineStr">
        <is>
          <t>RZ060-012</t>
        </is>
      </c>
      <c r="G12" s="907" t="inlineStr">
        <is>
          <t>TOOLBOX, OFFSHORE - WELLSITE</t>
        </is>
      </c>
      <c r="H12" s="909" t="n">
        <v>1</v>
      </c>
      <c r="I12" s="909" t="inlineStr">
        <is>
          <t>SUCCESSFULLY RIH</t>
        </is>
      </c>
    </row>
    <row r="13" ht="44.25" customFormat="1" customHeight="1" s="906">
      <c r="A13" s="907" t="inlineStr">
        <is>
          <t>N/A</t>
        </is>
      </c>
      <c r="B13" s="907" t="inlineStr">
        <is>
          <t>N/A</t>
        </is>
      </c>
      <c r="C13" s="908" t="inlineStr">
        <is>
          <t>N/A</t>
        </is>
      </c>
      <c r="D13" s="907" t="inlineStr">
        <is>
          <t>PUMP, HYDRAULIC</t>
        </is>
      </c>
      <c r="E13" s="909" t="inlineStr">
        <is>
          <t>300340</t>
        </is>
      </c>
      <c r="F13" s="909" t="inlineStr">
        <is>
          <t>3254409</t>
        </is>
      </c>
      <c r="G13" s="907" t="inlineStr">
        <is>
          <t>PUMP, HYDRAULIC</t>
        </is>
      </c>
      <c r="H13" s="909" t="n">
        <v>1</v>
      </c>
      <c r="I13" s="909" t="inlineStr">
        <is>
          <t>SUCCESSFULLY RIH</t>
        </is>
      </c>
    </row>
    <row r="14" ht="44.25" customFormat="1" customHeight="1" s="906"/>
    <row r="15" ht="44.25" customHeight="1" s="862"/>
    <row r="16" ht="44.25" customHeight="1" s="862"/>
    <row r="17" ht="44.25" customHeight="1" s="862"/>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40" zoomScaleNormal="110" zoomScalePageLayoutView="140" workbookViewId="0">
      <selection pane="topLeft" activeCell="E16" activeCellId="0" sqref="A11:S69"/>
    </sheetView>
  </sheetViews>
  <sheetFormatPr baseColWidth="8" defaultColWidth="8.59765625" defaultRowHeight="14.25" customHeight="0" zeroHeight="0" outlineLevelRow="0"/>
  <cols>
    <col width="22.11" customWidth="1" style="910" min="1" max="1"/>
    <col width="30.11" customWidth="1" style="910" min="2" max="2"/>
    <col width="4.22" customWidth="1" style="910" min="3" max="3"/>
    <col width="24" customWidth="1" style="910" min="4" max="4"/>
    <col width="29.44" customWidth="1" style="910" min="5" max="5"/>
    <col width="4.22" customWidth="1" style="911" min="6" max="6"/>
    <col width="12.89" customWidth="1" style="910" min="7" max="7"/>
    <col width="22.44" customWidth="1" style="910" min="8" max="8"/>
    <col width="14.11" customWidth="1" style="910" min="9" max="9"/>
  </cols>
  <sheetData>
    <row r="1" ht="17.25" customHeight="1" s="862">
      <c r="A1" s="912" t="inlineStr">
        <is>
          <t>Master Data Imput</t>
        </is>
      </c>
    </row>
    <row r="3" ht="39" customFormat="1" customHeight="1" s="913">
      <c r="A3" s="914" t="inlineStr">
        <is>
          <t>Customer Name</t>
        </is>
      </c>
      <c r="B3" s="915">
        <f>'MS2'!$C$2</f>
        <v/>
      </c>
      <c r="D3" s="914" t="inlineStr">
        <is>
          <t>Job Type</t>
        </is>
      </c>
      <c r="E3" s="916" t="inlineStr">
        <is>
          <t>3-1/2" Single Oil Producer, Alloy-28 Tubing,</t>
        </is>
      </c>
      <c r="F3" s="917" t="n"/>
      <c r="G3" s="918" t="inlineStr">
        <is>
          <t>Lead Engineer</t>
        </is>
      </c>
      <c r="H3" s="919">
        <f>'MS2'!$F$6</f>
        <v/>
      </c>
      <c r="I3" s="920" t="inlineStr">
        <is>
          <t>Field Supervisor</t>
        </is>
      </c>
    </row>
    <row r="4" ht="24" customHeight="1" s="862">
      <c r="A4" s="921" t="inlineStr">
        <is>
          <t>ADNOC Rep.</t>
        </is>
      </c>
      <c r="B4" s="922" t="n"/>
      <c r="D4" s="921" t="inlineStr">
        <is>
          <t>Work Description</t>
        </is>
      </c>
      <c r="E4" s="916" t="inlineStr">
        <is>
          <t>RIH COMPLETION</t>
        </is>
      </c>
      <c r="G4" s="923" t="inlineStr">
        <is>
          <t>Crew 1</t>
        </is>
      </c>
      <c r="H4" s="915" t="inlineStr">
        <is>
          <t>Ibrahim Gad</t>
        </is>
      </c>
      <c r="I4" s="924" t="inlineStr">
        <is>
          <t>TRSV Engineer</t>
        </is>
      </c>
    </row>
    <row r="5" ht="14.25" customHeight="1" s="862">
      <c r="A5" s="923" t="inlineStr">
        <is>
          <t>ADNOC Rep. Phone</t>
        </is>
      </c>
      <c r="B5" s="925" t="n">
        <v>971508126221</v>
      </c>
      <c r="D5" s="923" t="inlineStr">
        <is>
          <t>Field</t>
        </is>
      </c>
      <c r="E5" s="926" t="n"/>
      <c r="G5" s="921" t="inlineStr">
        <is>
          <t>Crew 2</t>
        </is>
      </c>
      <c r="H5" s="919">
        <f>'MS2'!$F$6</f>
        <v/>
      </c>
      <c r="I5" s="924" t="inlineStr">
        <is>
          <t>TRSV Engineer</t>
        </is>
      </c>
    </row>
    <row r="6" ht="14.25" customHeight="1" s="862">
      <c r="A6" s="923" t="n"/>
      <c r="B6" s="925" t="n"/>
      <c r="D6" s="923" t="n"/>
      <c r="E6" s="926" t="n"/>
      <c r="G6" s="921" t="inlineStr">
        <is>
          <t>Crew 3</t>
        </is>
      </c>
      <c r="H6" s="915" t="inlineStr">
        <is>
          <t>Ibrahim Gad</t>
        </is>
      </c>
      <c r="I6" s="924" t="inlineStr">
        <is>
          <t>TRSV Engineer</t>
        </is>
      </c>
    </row>
    <row r="7" ht="14.25" customHeight="1" s="862">
      <c r="A7" s="921" t="n"/>
      <c r="B7" s="927" t="n"/>
      <c r="D7" s="923" t="n"/>
      <c r="E7" s="926" t="n"/>
      <c r="G7" s="921" t="inlineStr">
        <is>
          <t>Crew 4</t>
        </is>
      </c>
      <c r="H7" s="919">
        <f>'MS2'!$F$6</f>
        <v/>
      </c>
      <c r="I7" s="924" t="inlineStr">
        <is>
          <t>TRSV Engineer</t>
        </is>
      </c>
    </row>
    <row r="8" ht="14.25" customHeight="1" s="862">
      <c r="A8" s="923" t="inlineStr">
        <is>
          <t>ADNOC Rep. Phone</t>
        </is>
      </c>
      <c r="B8" s="925" t="n">
        <v>971508126221</v>
      </c>
      <c r="D8" s="923" t="inlineStr">
        <is>
          <t>Field</t>
        </is>
      </c>
      <c r="E8" s="926" t="inlineStr">
        <is>
          <t>BAB</t>
        </is>
      </c>
      <c r="G8" s="921" t="inlineStr">
        <is>
          <t>Crew 5</t>
        </is>
      </c>
      <c r="H8" s="915" t="inlineStr">
        <is>
          <t>Ibrahim Gad</t>
        </is>
      </c>
      <c r="I8" s="924" t="inlineStr">
        <is>
          <t>TRSV Engineer</t>
        </is>
      </c>
    </row>
    <row r="9" ht="14.25" customHeight="1" s="862">
      <c r="A9" s="923" t="inlineStr">
        <is>
          <t>ADNOC Rep. Phone</t>
        </is>
      </c>
      <c r="B9" s="925" t="n">
        <v>971508126221</v>
      </c>
      <c r="D9" s="923" t="inlineStr">
        <is>
          <t>Field</t>
        </is>
      </c>
      <c r="E9" s="926" t="inlineStr">
        <is>
          <t>BAB</t>
        </is>
      </c>
      <c r="G9" s="921" t="inlineStr">
        <is>
          <t>Crew 6</t>
        </is>
      </c>
      <c r="H9" s="919">
        <f>'MS2'!$F$6</f>
        <v/>
      </c>
      <c r="I9" s="924" t="inlineStr">
        <is>
          <t>TRSV Engineer</t>
        </is>
      </c>
    </row>
    <row r="10" ht="14.25" customHeight="1" s="862">
      <c r="A10" s="921" t="inlineStr">
        <is>
          <t>Contract #</t>
        </is>
      </c>
      <c r="B10" s="927">
        <f>'MS2'!$C$3</f>
        <v/>
      </c>
      <c r="D10" s="921" t="inlineStr">
        <is>
          <t>Well</t>
        </is>
      </c>
      <c r="E10" s="928">
        <f>'MS2'!I9</f>
        <v/>
      </c>
      <c r="G10" s="923" t="n"/>
      <c r="H10" s="915" t="inlineStr">
        <is>
          <t>Ibrahim Gad</t>
        </is>
      </c>
      <c r="I10" s="924" t="inlineStr">
        <is>
          <t>TRSV Engineer</t>
        </is>
      </c>
    </row>
    <row r="11" ht="14.25" customHeight="1" s="862">
      <c r="A11" s="929" t="inlineStr">
        <is>
          <t>Customer RO #:</t>
        </is>
      </c>
      <c r="B11" s="930">
        <f>'MS2'!$F$5</f>
        <v/>
      </c>
      <c r="D11" s="923" t="inlineStr">
        <is>
          <t>RIG</t>
        </is>
      </c>
      <c r="E11" s="931">
        <f>'MS2'!I8</f>
        <v/>
      </c>
      <c r="G11" s="921" t="n"/>
      <c r="H11" s="922" t="n"/>
      <c r="I11" s="924" t="inlineStr">
        <is>
          <t>TRSV Engineer</t>
        </is>
      </c>
    </row>
    <row r="12" ht="14.25" customHeight="1" s="862">
      <c r="A12" s="923" t="inlineStr">
        <is>
          <t>Number of Days in RO</t>
        </is>
      </c>
      <c r="B12" s="932" t="n">
        <v>11</v>
      </c>
      <c r="D12" s="921" t="inlineStr">
        <is>
          <t>Date and time for Arrival</t>
        </is>
      </c>
      <c r="E12" s="933">
        <f t="array" ref="E12:F12">'MS2'!C4:D4</f>
        <v/>
      </c>
      <c r="F12" s="911" t="n">
        <v>0</v>
      </c>
      <c r="G12" s="923" t="n"/>
      <c r="H12" s="915" t="n"/>
      <c r="I12" s="924" t="n"/>
    </row>
    <row r="13" ht="14.25" customHeight="1" s="862">
      <c r="D13" s="923" t="inlineStr">
        <is>
          <t>Date and time for Job Start</t>
        </is>
      </c>
      <c r="E13" s="933">
        <f>E12</f>
        <v/>
      </c>
      <c r="G13" s="921" t="n"/>
      <c r="H13" s="922" t="n"/>
      <c r="I13" s="920" t="n"/>
    </row>
    <row r="14" ht="14.25" customHeight="1" s="862">
      <c r="A14" s="923" t="inlineStr">
        <is>
          <t>Customer (Contractor) #</t>
        </is>
      </c>
      <c r="B14" s="932" t="n"/>
      <c r="D14" s="921" t="inlineStr">
        <is>
          <t>Date and time for Job End</t>
        </is>
      </c>
      <c r="E14" s="933">
        <f t="array" ref="E14:F14">'MS2'!C5:D5</f>
        <v/>
      </c>
      <c r="F14" s="911" t="n">
        <v>0</v>
      </c>
      <c r="G14" s="923" t="n"/>
      <c r="H14" s="915" t="n"/>
      <c r="I14" s="924" t="n"/>
    </row>
    <row r="15" ht="14.25" customHeight="1" s="862">
      <c r="A15" s="923" t="inlineStr">
        <is>
          <t>Service DT</t>
        </is>
      </c>
      <c r="B15" s="932">
        <f t="array" ref="B15:C15">'MS2'!H1:I1</f>
        <v/>
      </c>
      <c r="C15" s="910" t="n">
        <v>0</v>
      </c>
      <c r="D15" s="923" t="inlineStr">
        <is>
          <t>Date and time for Leave</t>
        </is>
      </c>
      <c r="E15" s="933">
        <f>E14</f>
        <v/>
      </c>
      <c r="G15" s="921" t="n"/>
      <c r="H15" s="922" t="n"/>
      <c r="I15" s="920" t="n"/>
    </row>
    <row r="16" ht="14.25" customHeight="1" s="862">
      <c r="A16" s="923" t="inlineStr">
        <is>
          <t>WPTS #</t>
        </is>
      </c>
      <c r="B16" s="932" t="n"/>
      <c r="D16" s="921" t="inlineStr">
        <is>
          <t>Total Time Hrs</t>
        </is>
      </c>
      <c r="E16" s="928" t="n">
        <v>90</v>
      </c>
      <c r="G16" s="923" t="n"/>
      <c r="H16" s="915" t="n"/>
      <c r="I16" s="924" t="n"/>
    </row>
    <row r="17" ht="14.25" customHeight="1" s="862">
      <c r="D17" s="923" t="inlineStr">
        <is>
          <t>Operational Time Hrs</t>
        </is>
      </c>
      <c r="E17" s="931" t="n">
        <v>87</v>
      </c>
      <c r="G17" s="921" t="n"/>
      <c r="H17" s="934" t="n"/>
      <c r="I17" s="935" t="n"/>
    </row>
    <row r="18" ht="14.25" customHeight="1" s="862">
      <c r="A18" s="923" t="inlineStr">
        <is>
          <t>Company</t>
        </is>
      </c>
      <c r="B18" s="932" t="inlineStr">
        <is>
          <t>Weatherford Bin Hamoodah L.L.C</t>
        </is>
      </c>
      <c r="D18" s="921" t="inlineStr">
        <is>
          <t>Lost Time (NPT)</t>
        </is>
      </c>
      <c r="E18" s="928" t="n">
        <v>0</v>
      </c>
      <c r="G18" s="923" t="n"/>
      <c r="H18" s="915" t="n"/>
      <c r="I18" s="924" t="n"/>
    </row>
    <row r="19" ht="14.25" customHeight="1" s="862">
      <c r="A19" s="921" t="inlineStr">
        <is>
          <t>WFT Contact Name</t>
        </is>
      </c>
      <c r="B19" s="928" t="inlineStr">
        <is>
          <t>Mohamed Massood</t>
        </is>
      </c>
      <c r="D19" s="923" t="inlineStr">
        <is>
          <t>Runs</t>
        </is>
      </c>
      <c r="E19" s="931" t="n">
        <v>1</v>
      </c>
      <c r="G19" s="921" t="n"/>
      <c r="H19" s="934" t="n"/>
      <c r="I19" s="935" t="n"/>
    </row>
    <row r="20" ht="14.25" customHeight="1" s="862">
      <c r="A20" s="923" t="inlineStr">
        <is>
          <t>WFT Contact Phone #</t>
        </is>
      </c>
      <c r="B20" s="936" t="n">
        <v>971547926323</v>
      </c>
      <c r="D20" s="921" t="inlineStr">
        <is>
          <t>Miss Runs</t>
        </is>
      </c>
      <c r="E20" s="928" t="n">
        <v>0</v>
      </c>
    </row>
    <row r="21" ht="14.25" customHeight="1" s="862">
      <c r="A21" s="921" t="inlineStr">
        <is>
          <t>WFT Supervisor</t>
        </is>
      </c>
      <c r="B21" s="919" t="inlineStr">
        <is>
          <t xml:space="preserve">Mahmoud Ali </t>
        </is>
      </c>
    </row>
    <row r="22" ht="14.25" customHeight="1" s="862">
      <c r="A22" s="923" t="inlineStr">
        <is>
          <t>WFT Supervisor Phone #</t>
        </is>
      </c>
      <c r="B22" s="937" t="n">
        <v>971567203838</v>
      </c>
    </row>
    <row r="23" ht="14.25" customHeight="1" s="862">
      <c r="D23" s="923" t="inlineStr">
        <is>
          <t>Backload Sent</t>
        </is>
      </c>
      <c r="E23" s="938">
        <f>E15</f>
        <v/>
      </c>
    </row>
    <row r="24" ht="14.25" customHeight="1" s="862">
      <c r="A24" s="921" t="inlineStr">
        <is>
          <t>PO Asociated</t>
        </is>
      </c>
      <c r="B24" s="927" t="inlineStr">
        <is>
          <t>Q-74878</t>
        </is>
      </c>
      <c r="D24" s="921" t="inlineStr">
        <is>
          <t>Documents Signed Date</t>
        </is>
      </c>
      <c r="E24" s="938">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17"/>
  <sheetViews>
    <sheetView showFormulas="0" showGridLines="1" showRowColHeaders="1" showZeros="1" rightToLeft="0" tabSelected="1" showOutlineSymbols="1" defaultGridColor="1" view="pageBreakPreview" topLeftCell="A65" colorId="64" zoomScale="140" zoomScaleNormal="100" zoomScalePageLayoutView="140" workbookViewId="0">
      <selection pane="topLeft" activeCell="A11" activeCellId="0" sqref="A11:S69"/>
    </sheetView>
  </sheetViews>
  <sheetFormatPr baseColWidth="8" defaultColWidth="9.11328125" defaultRowHeight="12" customHeight="0" zeroHeight="0" outlineLevelRow="0"/>
  <cols>
    <col width="4.55" customWidth="1" style="939" min="1" max="1"/>
    <col width="5" customWidth="1" style="939" min="2" max="2"/>
    <col width="3.45" customWidth="1" style="939" min="3" max="3"/>
    <col width="9.66" customWidth="1" style="939" min="4" max="4"/>
    <col width="5.44" customWidth="1" style="939" min="5" max="5"/>
    <col width="8.890000000000001" customWidth="1" style="939" min="6" max="12"/>
    <col width="7.33" customWidth="1" style="939" min="13" max="13"/>
    <col width="2.67" customWidth="1" style="939" min="14" max="14"/>
    <col width="3.45" customWidth="1" style="939" min="15" max="15"/>
    <col width="6" customWidth="1" style="939" min="16" max="16"/>
    <col width="6.34" customWidth="1" style="939" min="17" max="17"/>
    <col width="6.56" customWidth="1" style="939" min="18" max="18"/>
    <col width="31.33" customWidth="1" style="939" min="19" max="19"/>
    <col width="9.109999999999999" customWidth="1" style="939" min="20" max="131"/>
    <col width="7.33" customWidth="1" style="939" min="132" max="132"/>
    <col width="5" customWidth="1" style="939" min="133" max="133"/>
    <col width="5.44" customWidth="1" style="939" min="134" max="134"/>
    <col width="9.66" customWidth="1" style="939" min="135" max="135"/>
    <col width="5.44" customWidth="1" style="939" min="136" max="136"/>
    <col width="2" customWidth="1" style="939" min="137" max="137"/>
    <col width="7.55" customWidth="1" style="939" min="138" max="138"/>
    <col width="8.67" customWidth="1" style="939" min="139" max="139"/>
    <col width="4.67" customWidth="1" style="939" min="140" max="140"/>
    <col width="8.67" customWidth="1" style="939" min="141" max="141"/>
    <col width="6" customWidth="1" style="939" min="142" max="142"/>
    <col width="6.34" customWidth="1" style="939" min="143" max="143"/>
    <col width="8.67" customWidth="1" style="939" min="144" max="144"/>
    <col width="3.45" customWidth="1" style="939" min="145" max="145"/>
    <col width="3" customWidth="1" style="939" min="146" max="146"/>
    <col width="4.33" customWidth="1" style="939" min="147" max="147"/>
    <col width="5.56" customWidth="1" style="939" min="148" max="148"/>
    <col width="4.67" customWidth="1" style="939" min="149" max="149"/>
    <col width="15.45" customWidth="1" style="939" min="150" max="150"/>
    <col width="9.109999999999999" customWidth="1" style="939" min="151" max="154"/>
    <col width="10.44" customWidth="1" style="939" min="155" max="155"/>
    <col width="18" customWidth="1" style="939" min="156" max="156"/>
    <col width="9.109999999999999" customWidth="1" style="939" min="157" max="387"/>
    <col width="7.33" customWidth="1" style="939" min="388" max="388"/>
    <col width="5" customWidth="1" style="939" min="389" max="389"/>
    <col width="5.44" customWidth="1" style="939" min="390" max="390"/>
    <col width="9.66" customWidth="1" style="939" min="391" max="391"/>
    <col width="5.44" customWidth="1" style="939" min="392" max="392"/>
    <col width="2" customWidth="1" style="939" min="393" max="393"/>
    <col width="7.55" customWidth="1" style="939" min="394" max="394"/>
    <col width="8.67" customWidth="1" style="939" min="395" max="395"/>
    <col width="4.67" customWidth="1" style="939" min="396" max="396"/>
    <col width="8.67" customWidth="1" style="939" min="397" max="397"/>
    <col width="6" customWidth="1" style="939" min="398" max="398"/>
    <col width="6.34" customWidth="1" style="939" min="399" max="399"/>
    <col width="8.67" customWidth="1" style="939" min="400" max="400"/>
    <col width="3.45" customWidth="1" style="939" min="401" max="401"/>
    <col width="3" customWidth="1" style="939" min="402" max="402"/>
    <col width="4.33" customWidth="1" style="939" min="403" max="403"/>
    <col width="5.56" customWidth="1" style="939" min="404" max="404"/>
    <col width="4.67" customWidth="1" style="939" min="405" max="405"/>
    <col width="15.45" customWidth="1" style="939" min="406" max="406"/>
    <col width="9.109999999999999" customWidth="1" style="939" min="407" max="410"/>
    <col width="10.44" customWidth="1" style="939" min="411" max="411"/>
    <col width="18" customWidth="1" style="939" min="412" max="412"/>
    <col width="9.109999999999999" customWidth="1" style="939" min="413" max="643"/>
    <col width="7.33" customWidth="1" style="939" min="644" max="644"/>
    <col width="5" customWidth="1" style="939" min="645" max="645"/>
    <col width="5.44" customWidth="1" style="939" min="646" max="646"/>
    <col width="9.66" customWidth="1" style="939" min="647" max="647"/>
    <col width="5.44" customWidth="1" style="939" min="648" max="648"/>
    <col width="2" customWidth="1" style="939" min="649" max="649"/>
    <col width="7.55" customWidth="1" style="939" min="650" max="650"/>
    <col width="8.67" customWidth="1" style="939" min="651" max="651"/>
    <col width="4.67" customWidth="1" style="939" min="652" max="652"/>
    <col width="8.67" customWidth="1" style="939" min="653" max="653"/>
    <col width="6" customWidth="1" style="939" min="654" max="654"/>
    <col width="6.34" customWidth="1" style="939" min="655" max="655"/>
    <col width="8.67" customWidth="1" style="939" min="656" max="656"/>
    <col width="3.45" customWidth="1" style="939" min="657" max="657"/>
    <col width="3" customWidth="1" style="939" min="658" max="658"/>
    <col width="4.33" customWidth="1" style="939" min="659" max="659"/>
    <col width="5.56" customWidth="1" style="939" min="660" max="660"/>
    <col width="4.67" customWidth="1" style="939" min="661" max="661"/>
    <col width="15.45" customWidth="1" style="939" min="662" max="662"/>
    <col width="9.109999999999999" customWidth="1" style="939" min="663" max="666"/>
    <col width="10.44" customWidth="1" style="939" min="667" max="667"/>
    <col width="18" customWidth="1" style="939" min="668" max="668"/>
    <col width="9.109999999999999" customWidth="1" style="939" min="669" max="899"/>
    <col width="7.33" customWidth="1" style="939" min="900" max="900"/>
    <col width="5" customWidth="1" style="939" min="901" max="901"/>
    <col width="5.44" customWidth="1" style="939" min="902" max="902"/>
    <col width="9.66" customWidth="1" style="939" min="903" max="903"/>
    <col width="5.44" customWidth="1" style="939" min="904" max="904"/>
    <col width="2" customWidth="1" style="939" min="905" max="905"/>
    <col width="7.55" customWidth="1" style="939" min="906" max="906"/>
    <col width="8.67" customWidth="1" style="939" min="907" max="907"/>
    <col width="4.67" customWidth="1" style="939" min="908" max="908"/>
    <col width="8.67" customWidth="1" style="939" min="909" max="909"/>
    <col width="6" customWidth="1" style="939" min="910" max="910"/>
    <col width="6.34" customWidth="1" style="939" min="911" max="911"/>
    <col width="8.67" customWidth="1" style="939" min="912" max="912"/>
    <col width="3.45" customWidth="1" style="939" min="913" max="913"/>
    <col width="3" customWidth="1" style="939" min="914" max="914"/>
    <col width="4.33" customWidth="1" style="939" min="915" max="915"/>
    <col width="5.56" customWidth="1" style="939" min="916" max="916"/>
    <col width="4.67" customWidth="1" style="939" min="917" max="917"/>
    <col width="15.45" customWidth="1" style="939" min="918" max="918"/>
    <col width="9.109999999999999" customWidth="1" style="939" min="919" max="922"/>
    <col width="10.44" customWidth="1" style="939" min="923" max="923"/>
    <col width="18" customWidth="1" style="939" min="924" max="924"/>
    <col width="9.109999999999999" customWidth="1" style="939" min="925" max="1155"/>
    <col width="7.33" customWidth="1" style="939" min="1156" max="1156"/>
    <col width="5" customWidth="1" style="939" min="1157" max="1157"/>
    <col width="5.44" customWidth="1" style="939" min="1158" max="1158"/>
    <col width="9.66" customWidth="1" style="939" min="1159" max="1159"/>
    <col width="5.44" customWidth="1" style="939" min="1160" max="1160"/>
    <col width="2" customWidth="1" style="939" min="1161" max="1161"/>
    <col width="7.55" customWidth="1" style="939" min="1162" max="1162"/>
    <col width="8.67" customWidth="1" style="939" min="1163" max="1163"/>
    <col width="4.67" customWidth="1" style="939" min="1164" max="1164"/>
    <col width="8.67" customWidth="1" style="939" min="1165" max="1165"/>
    <col width="6" customWidth="1" style="939" min="1166" max="1166"/>
    <col width="6.34" customWidth="1" style="939" min="1167" max="1167"/>
    <col width="8.67" customWidth="1" style="939" min="1168" max="1168"/>
    <col width="3.45" customWidth="1" style="939" min="1169" max="1169"/>
    <col width="3" customWidth="1" style="939" min="1170" max="1170"/>
    <col width="4.33" customWidth="1" style="939" min="1171" max="1171"/>
    <col width="5.56" customWidth="1" style="939" min="1172" max="1172"/>
    <col width="4.67" customWidth="1" style="939" min="1173" max="1173"/>
    <col width="15.45" customWidth="1" style="939" min="1174" max="1174"/>
    <col width="9.109999999999999" customWidth="1" style="939" min="1175" max="1178"/>
    <col width="10.44" customWidth="1" style="939" min="1179" max="1179"/>
    <col width="18" customWidth="1" style="939" min="1180" max="1180"/>
    <col width="9.109999999999999" customWidth="1" style="939" min="1181" max="1411"/>
    <col width="7.33" customWidth="1" style="939" min="1412" max="1412"/>
    <col width="5" customWidth="1" style="939" min="1413" max="1413"/>
    <col width="5.44" customWidth="1" style="939" min="1414" max="1414"/>
    <col width="9.66" customWidth="1" style="939" min="1415" max="1415"/>
    <col width="5.44" customWidth="1" style="939" min="1416" max="1416"/>
    <col width="2" customWidth="1" style="939" min="1417" max="1417"/>
    <col width="7.55" customWidth="1" style="939" min="1418" max="1418"/>
    <col width="8.67" customWidth="1" style="939" min="1419" max="1419"/>
    <col width="4.67" customWidth="1" style="939" min="1420" max="1420"/>
    <col width="8.67" customWidth="1" style="939" min="1421" max="1421"/>
    <col width="6" customWidth="1" style="939" min="1422" max="1422"/>
    <col width="6.34" customWidth="1" style="939" min="1423" max="1423"/>
    <col width="8.67" customWidth="1" style="939" min="1424" max="1424"/>
    <col width="3.45" customWidth="1" style="939" min="1425" max="1425"/>
    <col width="3" customWidth="1" style="939" min="1426" max="1426"/>
    <col width="4.33" customWidth="1" style="939" min="1427" max="1427"/>
    <col width="5.56" customWidth="1" style="939" min="1428" max="1428"/>
    <col width="4.67" customWidth="1" style="939" min="1429" max="1429"/>
    <col width="15.45" customWidth="1" style="939" min="1430" max="1430"/>
    <col width="9.109999999999999" customWidth="1" style="939" min="1431" max="1434"/>
    <col width="10.44" customWidth="1" style="939" min="1435" max="1435"/>
    <col width="18" customWidth="1" style="939" min="1436" max="1436"/>
    <col width="9.109999999999999" customWidth="1" style="939" min="1437" max="1667"/>
    <col width="7.33" customWidth="1" style="939" min="1668" max="1668"/>
    <col width="5" customWidth="1" style="939" min="1669" max="1669"/>
    <col width="5.44" customWidth="1" style="939" min="1670" max="1670"/>
    <col width="9.66" customWidth="1" style="939" min="1671" max="1671"/>
    <col width="5.44" customWidth="1" style="939" min="1672" max="1672"/>
    <col width="2" customWidth="1" style="939" min="1673" max="1673"/>
    <col width="7.55" customWidth="1" style="939" min="1674" max="1674"/>
    <col width="8.67" customWidth="1" style="939" min="1675" max="1675"/>
    <col width="4.67" customWidth="1" style="939" min="1676" max="1676"/>
    <col width="8.67" customWidth="1" style="939" min="1677" max="1677"/>
    <col width="6" customWidth="1" style="939" min="1678" max="1678"/>
    <col width="6.34" customWidth="1" style="939" min="1679" max="1679"/>
    <col width="8.67" customWidth="1" style="939" min="1680" max="1680"/>
    <col width="3.45" customWidth="1" style="939" min="1681" max="1681"/>
    <col width="3" customWidth="1" style="939" min="1682" max="1682"/>
    <col width="4.33" customWidth="1" style="939" min="1683" max="1683"/>
    <col width="5.56" customWidth="1" style="939" min="1684" max="1684"/>
    <col width="4.67" customWidth="1" style="939" min="1685" max="1685"/>
    <col width="15.45" customWidth="1" style="939" min="1686" max="1686"/>
    <col width="9.109999999999999" customWidth="1" style="939" min="1687" max="1690"/>
    <col width="10.44" customWidth="1" style="939" min="1691" max="1691"/>
    <col width="18" customWidth="1" style="939" min="1692" max="1692"/>
    <col width="9.109999999999999" customWidth="1" style="939" min="1693" max="1923"/>
    <col width="7.33" customWidth="1" style="939" min="1924" max="1924"/>
    <col width="5" customWidth="1" style="939" min="1925" max="1925"/>
    <col width="5.44" customWidth="1" style="939" min="1926" max="1926"/>
    <col width="9.66" customWidth="1" style="939" min="1927" max="1927"/>
    <col width="5.44" customWidth="1" style="939" min="1928" max="1928"/>
    <col width="2" customWidth="1" style="939" min="1929" max="1929"/>
    <col width="7.55" customWidth="1" style="939" min="1930" max="1930"/>
    <col width="8.67" customWidth="1" style="939" min="1931" max="1931"/>
    <col width="4.67" customWidth="1" style="939" min="1932" max="1932"/>
    <col width="8.67" customWidth="1" style="939" min="1933" max="1933"/>
    <col width="6" customWidth="1" style="939" min="1934" max="1934"/>
    <col width="6.34" customWidth="1" style="939" min="1935" max="1935"/>
    <col width="8.67" customWidth="1" style="939" min="1936" max="1936"/>
    <col width="3.45" customWidth="1" style="939" min="1937" max="1937"/>
    <col width="3" customWidth="1" style="939" min="1938" max="1938"/>
    <col width="4.33" customWidth="1" style="939" min="1939" max="1939"/>
    <col width="5.56" customWidth="1" style="939" min="1940" max="1940"/>
    <col width="4.67" customWidth="1" style="939" min="1941" max="1941"/>
    <col width="15.45" customWidth="1" style="939" min="1942" max="1942"/>
    <col width="9.109999999999999" customWidth="1" style="939" min="1943" max="1946"/>
    <col width="10.44" customWidth="1" style="939" min="1947" max="1947"/>
    <col width="18" customWidth="1" style="939" min="1948" max="1948"/>
    <col width="9.109999999999999" customWidth="1" style="939" min="1949" max="2179"/>
    <col width="7.33" customWidth="1" style="939" min="2180" max="2180"/>
    <col width="5" customWidth="1" style="939" min="2181" max="2181"/>
    <col width="5.44" customWidth="1" style="939" min="2182" max="2182"/>
    <col width="9.66" customWidth="1" style="939" min="2183" max="2183"/>
    <col width="5.44" customWidth="1" style="939" min="2184" max="2184"/>
    <col width="2" customWidth="1" style="939" min="2185" max="2185"/>
    <col width="7.55" customWidth="1" style="939" min="2186" max="2186"/>
    <col width="8.67" customWidth="1" style="939" min="2187" max="2187"/>
    <col width="4.67" customWidth="1" style="939" min="2188" max="2188"/>
    <col width="8.67" customWidth="1" style="939" min="2189" max="2189"/>
    <col width="6" customWidth="1" style="939" min="2190" max="2190"/>
    <col width="6.34" customWidth="1" style="939" min="2191" max="2191"/>
    <col width="8.67" customWidth="1" style="939" min="2192" max="2192"/>
    <col width="3.45" customWidth="1" style="939" min="2193" max="2193"/>
    <col width="3" customWidth="1" style="939" min="2194" max="2194"/>
    <col width="4.33" customWidth="1" style="939" min="2195" max="2195"/>
    <col width="5.56" customWidth="1" style="939" min="2196" max="2196"/>
    <col width="4.67" customWidth="1" style="939" min="2197" max="2197"/>
    <col width="15.45" customWidth="1" style="939" min="2198" max="2198"/>
    <col width="9.109999999999999" customWidth="1" style="939" min="2199" max="2202"/>
    <col width="10.44" customWidth="1" style="939" min="2203" max="2203"/>
    <col width="18" customWidth="1" style="939" min="2204" max="2204"/>
    <col width="9.109999999999999" customWidth="1" style="939" min="2205" max="2435"/>
    <col width="7.33" customWidth="1" style="939" min="2436" max="2436"/>
    <col width="5" customWidth="1" style="939" min="2437" max="2437"/>
    <col width="5.44" customWidth="1" style="939" min="2438" max="2438"/>
    <col width="9.66" customWidth="1" style="939" min="2439" max="2439"/>
    <col width="5.44" customWidth="1" style="939" min="2440" max="2440"/>
    <col width="2" customWidth="1" style="939" min="2441" max="2441"/>
    <col width="7.55" customWidth="1" style="939" min="2442" max="2442"/>
    <col width="8.67" customWidth="1" style="939" min="2443" max="2443"/>
    <col width="4.67" customWidth="1" style="939" min="2444" max="2444"/>
    <col width="8.67" customWidth="1" style="939" min="2445" max="2445"/>
    <col width="6" customWidth="1" style="939" min="2446" max="2446"/>
    <col width="6.34" customWidth="1" style="939" min="2447" max="2447"/>
    <col width="8.67" customWidth="1" style="939" min="2448" max="2448"/>
    <col width="3.45" customWidth="1" style="939" min="2449" max="2449"/>
    <col width="3" customWidth="1" style="939" min="2450" max="2450"/>
    <col width="4.33" customWidth="1" style="939" min="2451" max="2451"/>
    <col width="5.56" customWidth="1" style="939" min="2452" max="2452"/>
    <col width="4.67" customWidth="1" style="939" min="2453" max="2453"/>
    <col width="15.45" customWidth="1" style="939" min="2454" max="2454"/>
    <col width="9.109999999999999" customWidth="1" style="939" min="2455" max="2458"/>
    <col width="10.44" customWidth="1" style="939" min="2459" max="2459"/>
    <col width="18" customWidth="1" style="939" min="2460" max="2460"/>
    <col width="9.109999999999999" customWidth="1" style="939" min="2461" max="2691"/>
    <col width="7.33" customWidth="1" style="939" min="2692" max="2692"/>
    <col width="5" customWidth="1" style="939" min="2693" max="2693"/>
    <col width="5.44" customWidth="1" style="939" min="2694" max="2694"/>
    <col width="9.66" customWidth="1" style="939" min="2695" max="2695"/>
    <col width="5.44" customWidth="1" style="939" min="2696" max="2696"/>
    <col width="2" customWidth="1" style="939" min="2697" max="2697"/>
    <col width="7.55" customWidth="1" style="939" min="2698" max="2698"/>
    <col width="8.67" customWidth="1" style="939" min="2699" max="2699"/>
    <col width="4.67" customWidth="1" style="939" min="2700" max="2700"/>
    <col width="8.67" customWidth="1" style="939" min="2701" max="2701"/>
    <col width="6" customWidth="1" style="939" min="2702" max="2702"/>
    <col width="6.34" customWidth="1" style="939" min="2703" max="2703"/>
    <col width="8.67" customWidth="1" style="939" min="2704" max="2704"/>
    <col width="3.45" customWidth="1" style="939" min="2705" max="2705"/>
    <col width="3" customWidth="1" style="939" min="2706" max="2706"/>
    <col width="4.33" customWidth="1" style="939" min="2707" max="2707"/>
    <col width="5.56" customWidth="1" style="939" min="2708" max="2708"/>
    <col width="4.67" customWidth="1" style="939" min="2709" max="2709"/>
    <col width="15.45" customWidth="1" style="939" min="2710" max="2710"/>
    <col width="9.109999999999999" customWidth="1" style="939" min="2711" max="2714"/>
    <col width="10.44" customWidth="1" style="939" min="2715" max="2715"/>
    <col width="18" customWidth="1" style="939" min="2716" max="2716"/>
    <col width="9.109999999999999" customWidth="1" style="939" min="2717" max="2947"/>
    <col width="7.33" customWidth="1" style="939" min="2948" max="2948"/>
    <col width="5" customWidth="1" style="939" min="2949" max="2949"/>
    <col width="5.44" customWidth="1" style="939" min="2950" max="2950"/>
    <col width="9.66" customWidth="1" style="939" min="2951" max="2951"/>
    <col width="5.44" customWidth="1" style="939" min="2952" max="2952"/>
    <col width="2" customWidth="1" style="939" min="2953" max="2953"/>
    <col width="7.55" customWidth="1" style="939" min="2954" max="2954"/>
    <col width="8.67" customWidth="1" style="939" min="2955" max="2955"/>
    <col width="4.67" customWidth="1" style="939" min="2956" max="2956"/>
    <col width="8.67" customWidth="1" style="939" min="2957" max="2957"/>
    <col width="6" customWidth="1" style="939" min="2958" max="2958"/>
    <col width="6.34" customWidth="1" style="939" min="2959" max="2959"/>
    <col width="8.67" customWidth="1" style="939" min="2960" max="2960"/>
    <col width="3.45" customWidth="1" style="939" min="2961" max="2961"/>
    <col width="3" customWidth="1" style="939" min="2962" max="2962"/>
    <col width="4.33" customWidth="1" style="939" min="2963" max="2963"/>
    <col width="5.56" customWidth="1" style="939" min="2964" max="2964"/>
    <col width="4.67" customWidth="1" style="939" min="2965" max="2965"/>
    <col width="15.45" customWidth="1" style="939" min="2966" max="2966"/>
    <col width="9.109999999999999" customWidth="1" style="939" min="2967" max="2970"/>
    <col width="10.44" customWidth="1" style="939" min="2971" max="2971"/>
    <col width="18" customWidth="1" style="939" min="2972" max="2972"/>
    <col width="9.109999999999999" customWidth="1" style="939" min="2973" max="3203"/>
    <col width="7.33" customWidth="1" style="939" min="3204" max="3204"/>
    <col width="5" customWidth="1" style="939" min="3205" max="3205"/>
    <col width="5.44" customWidth="1" style="939" min="3206" max="3206"/>
    <col width="9.66" customWidth="1" style="939" min="3207" max="3207"/>
    <col width="5.44" customWidth="1" style="939" min="3208" max="3208"/>
    <col width="2" customWidth="1" style="939" min="3209" max="3209"/>
    <col width="7.55" customWidth="1" style="939" min="3210" max="3210"/>
    <col width="8.67" customWidth="1" style="939" min="3211" max="3211"/>
    <col width="4.67" customWidth="1" style="939" min="3212" max="3212"/>
    <col width="8.67" customWidth="1" style="939" min="3213" max="3213"/>
    <col width="6" customWidth="1" style="939" min="3214" max="3214"/>
    <col width="6.34" customWidth="1" style="939" min="3215" max="3215"/>
    <col width="8.67" customWidth="1" style="939" min="3216" max="3216"/>
    <col width="3.45" customWidth="1" style="939" min="3217" max="3217"/>
    <col width="3" customWidth="1" style="939" min="3218" max="3218"/>
    <col width="4.33" customWidth="1" style="939" min="3219" max="3219"/>
    <col width="5.56" customWidth="1" style="939" min="3220" max="3220"/>
    <col width="4.67" customWidth="1" style="939" min="3221" max="3221"/>
    <col width="15.45" customWidth="1" style="939" min="3222" max="3222"/>
    <col width="9.109999999999999" customWidth="1" style="939" min="3223" max="3226"/>
    <col width="10.44" customWidth="1" style="939" min="3227" max="3227"/>
    <col width="18" customWidth="1" style="939" min="3228" max="3228"/>
    <col width="9.109999999999999" customWidth="1" style="939" min="3229" max="3459"/>
    <col width="7.33" customWidth="1" style="939" min="3460" max="3460"/>
    <col width="5" customWidth="1" style="939" min="3461" max="3461"/>
    <col width="5.44" customWidth="1" style="939" min="3462" max="3462"/>
    <col width="9.66" customWidth="1" style="939" min="3463" max="3463"/>
    <col width="5.44" customWidth="1" style="939" min="3464" max="3464"/>
    <col width="2" customWidth="1" style="939" min="3465" max="3465"/>
    <col width="7.55" customWidth="1" style="939" min="3466" max="3466"/>
    <col width="8.67" customWidth="1" style="939" min="3467" max="3467"/>
    <col width="4.67" customWidth="1" style="939" min="3468" max="3468"/>
    <col width="8.67" customWidth="1" style="939" min="3469" max="3469"/>
    <col width="6" customWidth="1" style="939" min="3470" max="3470"/>
    <col width="6.34" customWidth="1" style="939" min="3471" max="3471"/>
    <col width="8.67" customWidth="1" style="939" min="3472" max="3472"/>
    <col width="3.45" customWidth="1" style="939" min="3473" max="3473"/>
    <col width="3" customWidth="1" style="939" min="3474" max="3474"/>
    <col width="4.33" customWidth="1" style="939" min="3475" max="3475"/>
    <col width="5.56" customWidth="1" style="939" min="3476" max="3476"/>
    <col width="4.67" customWidth="1" style="939" min="3477" max="3477"/>
    <col width="15.45" customWidth="1" style="939" min="3478" max="3478"/>
    <col width="9.109999999999999" customWidth="1" style="939" min="3479" max="3482"/>
    <col width="10.44" customWidth="1" style="939" min="3483" max="3483"/>
    <col width="18" customWidth="1" style="939" min="3484" max="3484"/>
    <col width="9.109999999999999" customWidth="1" style="939" min="3485" max="3715"/>
    <col width="7.33" customWidth="1" style="939" min="3716" max="3716"/>
    <col width="5" customWidth="1" style="939" min="3717" max="3717"/>
    <col width="5.44" customWidth="1" style="939" min="3718" max="3718"/>
    <col width="9.66" customWidth="1" style="939" min="3719" max="3719"/>
    <col width="5.44" customWidth="1" style="939" min="3720" max="3720"/>
    <col width="2" customWidth="1" style="939" min="3721" max="3721"/>
    <col width="7.55" customWidth="1" style="939" min="3722" max="3722"/>
    <col width="8.67" customWidth="1" style="939" min="3723" max="3723"/>
    <col width="4.67" customWidth="1" style="939" min="3724" max="3724"/>
    <col width="8.67" customWidth="1" style="939" min="3725" max="3725"/>
    <col width="6" customWidth="1" style="939" min="3726" max="3726"/>
    <col width="6.34" customWidth="1" style="939" min="3727" max="3727"/>
    <col width="8.67" customWidth="1" style="939" min="3728" max="3728"/>
    <col width="3.45" customWidth="1" style="939" min="3729" max="3729"/>
    <col width="3" customWidth="1" style="939" min="3730" max="3730"/>
    <col width="4.33" customWidth="1" style="939" min="3731" max="3731"/>
    <col width="5.56" customWidth="1" style="939" min="3732" max="3732"/>
    <col width="4.67" customWidth="1" style="939" min="3733" max="3733"/>
    <col width="15.45" customWidth="1" style="939" min="3734" max="3734"/>
    <col width="9.109999999999999" customWidth="1" style="939" min="3735" max="3738"/>
    <col width="10.44" customWidth="1" style="939" min="3739" max="3739"/>
    <col width="18" customWidth="1" style="939" min="3740" max="3740"/>
    <col width="9.109999999999999" customWidth="1" style="939" min="3741" max="3971"/>
    <col width="7.33" customWidth="1" style="939" min="3972" max="3972"/>
    <col width="5" customWidth="1" style="939" min="3973" max="3973"/>
    <col width="5.44" customWidth="1" style="939" min="3974" max="3974"/>
    <col width="9.66" customWidth="1" style="939" min="3975" max="3975"/>
    <col width="5.44" customWidth="1" style="939" min="3976" max="3976"/>
    <col width="2" customWidth="1" style="939" min="3977" max="3977"/>
    <col width="7.55" customWidth="1" style="939" min="3978" max="3978"/>
    <col width="8.67" customWidth="1" style="939" min="3979" max="3979"/>
    <col width="4.67" customWidth="1" style="939" min="3980" max="3980"/>
    <col width="8.67" customWidth="1" style="939" min="3981" max="3981"/>
    <col width="6" customWidth="1" style="939" min="3982" max="3982"/>
    <col width="6.34" customWidth="1" style="939" min="3983" max="3983"/>
    <col width="8.67" customWidth="1" style="939" min="3984" max="3984"/>
    <col width="3.45" customWidth="1" style="939" min="3985" max="3985"/>
    <col width="3" customWidth="1" style="939" min="3986" max="3986"/>
    <col width="4.33" customWidth="1" style="939" min="3987" max="3987"/>
    <col width="5.56" customWidth="1" style="939" min="3988" max="3988"/>
    <col width="4.67" customWidth="1" style="939" min="3989" max="3989"/>
    <col width="15.45" customWidth="1" style="939" min="3990" max="3990"/>
    <col width="9.109999999999999" customWidth="1" style="939" min="3991" max="3994"/>
    <col width="10.44" customWidth="1" style="939" min="3995" max="3995"/>
    <col width="18" customWidth="1" style="939" min="3996" max="3996"/>
    <col width="9.109999999999999" customWidth="1" style="939" min="3997" max="4227"/>
    <col width="7.33" customWidth="1" style="939" min="4228" max="4228"/>
    <col width="5" customWidth="1" style="939" min="4229" max="4229"/>
    <col width="5.44" customWidth="1" style="939" min="4230" max="4230"/>
    <col width="9.66" customWidth="1" style="939" min="4231" max="4231"/>
    <col width="5.44" customWidth="1" style="939" min="4232" max="4232"/>
    <col width="2" customWidth="1" style="939" min="4233" max="4233"/>
    <col width="7.55" customWidth="1" style="939" min="4234" max="4234"/>
    <col width="8.67" customWidth="1" style="939" min="4235" max="4235"/>
    <col width="4.67" customWidth="1" style="939" min="4236" max="4236"/>
    <col width="8.67" customWidth="1" style="939" min="4237" max="4237"/>
    <col width="6" customWidth="1" style="939" min="4238" max="4238"/>
    <col width="6.34" customWidth="1" style="939" min="4239" max="4239"/>
    <col width="8.67" customWidth="1" style="939" min="4240" max="4240"/>
    <col width="3.45" customWidth="1" style="939" min="4241" max="4241"/>
    <col width="3" customWidth="1" style="939" min="4242" max="4242"/>
    <col width="4.33" customWidth="1" style="939" min="4243" max="4243"/>
    <col width="5.56" customWidth="1" style="939" min="4244" max="4244"/>
    <col width="4.67" customWidth="1" style="939" min="4245" max="4245"/>
    <col width="15.45" customWidth="1" style="939" min="4246" max="4246"/>
    <col width="9.109999999999999" customWidth="1" style="939" min="4247" max="4250"/>
    <col width="10.44" customWidth="1" style="939" min="4251" max="4251"/>
    <col width="18" customWidth="1" style="939" min="4252" max="4252"/>
    <col width="9.109999999999999" customWidth="1" style="939" min="4253" max="4483"/>
    <col width="7.33" customWidth="1" style="939" min="4484" max="4484"/>
    <col width="5" customWidth="1" style="939" min="4485" max="4485"/>
    <col width="5.44" customWidth="1" style="939" min="4486" max="4486"/>
    <col width="9.66" customWidth="1" style="939" min="4487" max="4487"/>
    <col width="5.44" customWidth="1" style="939" min="4488" max="4488"/>
    <col width="2" customWidth="1" style="939" min="4489" max="4489"/>
    <col width="7.55" customWidth="1" style="939" min="4490" max="4490"/>
    <col width="8.67" customWidth="1" style="939" min="4491" max="4491"/>
    <col width="4.67" customWidth="1" style="939" min="4492" max="4492"/>
    <col width="8.67" customWidth="1" style="939" min="4493" max="4493"/>
    <col width="6" customWidth="1" style="939" min="4494" max="4494"/>
    <col width="6.34" customWidth="1" style="939" min="4495" max="4495"/>
    <col width="8.67" customWidth="1" style="939" min="4496" max="4496"/>
    <col width="3.45" customWidth="1" style="939" min="4497" max="4497"/>
    <col width="3" customWidth="1" style="939" min="4498" max="4498"/>
    <col width="4.33" customWidth="1" style="939" min="4499" max="4499"/>
    <col width="5.56" customWidth="1" style="939" min="4500" max="4500"/>
    <col width="4.67" customWidth="1" style="939" min="4501" max="4501"/>
    <col width="15.45" customWidth="1" style="939" min="4502" max="4502"/>
    <col width="9.109999999999999" customWidth="1" style="939" min="4503" max="4506"/>
    <col width="10.44" customWidth="1" style="939" min="4507" max="4507"/>
    <col width="18" customWidth="1" style="939" min="4508" max="4508"/>
    <col width="9.109999999999999" customWidth="1" style="939" min="4509" max="4739"/>
    <col width="7.33" customWidth="1" style="939" min="4740" max="4740"/>
    <col width="5" customWidth="1" style="939" min="4741" max="4741"/>
    <col width="5.44" customWidth="1" style="939" min="4742" max="4742"/>
    <col width="9.66" customWidth="1" style="939" min="4743" max="4743"/>
    <col width="5.44" customWidth="1" style="939" min="4744" max="4744"/>
    <col width="2" customWidth="1" style="939" min="4745" max="4745"/>
    <col width="7.55" customWidth="1" style="939" min="4746" max="4746"/>
    <col width="8.67" customWidth="1" style="939" min="4747" max="4747"/>
    <col width="4.67" customWidth="1" style="939" min="4748" max="4748"/>
    <col width="8.67" customWidth="1" style="939" min="4749" max="4749"/>
    <col width="6" customWidth="1" style="939" min="4750" max="4750"/>
    <col width="6.34" customWidth="1" style="939" min="4751" max="4751"/>
    <col width="8.67" customWidth="1" style="939" min="4752" max="4752"/>
    <col width="3.45" customWidth="1" style="939" min="4753" max="4753"/>
    <col width="3" customWidth="1" style="939" min="4754" max="4754"/>
    <col width="4.33" customWidth="1" style="939" min="4755" max="4755"/>
    <col width="5.56" customWidth="1" style="939" min="4756" max="4756"/>
    <col width="4.67" customWidth="1" style="939" min="4757" max="4757"/>
    <col width="15.45" customWidth="1" style="939" min="4758" max="4758"/>
    <col width="9.109999999999999" customWidth="1" style="939" min="4759" max="4762"/>
    <col width="10.44" customWidth="1" style="939" min="4763" max="4763"/>
    <col width="18" customWidth="1" style="939" min="4764" max="4764"/>
    <col width="9.109999999999999" customWidth="1" style="939" min="4765" max="4995"/>
    <col width="7.33" customWidth="1" style="939" min="4996" max="4996"/>
    <col width="5" customWidth="1" style="939" min="4997" max="4997"/>
    <col width="5.44" customWidth="1" style="939" min="4998" max="4998"/>
    <col width="9.66" customWidth="1" style="939" min="4999" max="4999"/>
    <col width="5.44" customWidth="1" style="939" min="5000" max="5000"/>
    <col width="2" customWidth="1" style="939" min="5001" max="5001"/>
    <col width="7.55" customWidth="1" style="939" min="5002" max="5002"/>
    <col width="8.67" customWidth="1" style="939" min="5003" max="5003"/>
    <col width="4.67" customWidth="1" style="939" min="5004" max="5004"/>
    <col width="8.67" customWidth="1" style="939" min="5005" max="5005"/>
    <col width="6" customWidth="1" style="939" min="5006" max="5006"/>
    <col width="6.34" customWidth="1" style="939" min="5007" max="5007"/>
    <col width="8.67" customWidth="1" style="939" min="5008" max="5008"/>
    <col width="3.45" customWidth="1" style="939" min="5009" max="5009"/>
    <col width="3" customWidth="1" style="939" min="5010" max="5010"/>
    <col width="4.33" customWidth="1" style="939" min="5011" max="5011"/>
    <col width="5.56" customWidth="1" style="939" min="5012" max="5012"/>
    <col width="4.67" customWidth="1" style="939" min="5013" max="5013"/>
    <col width="15.45" customWidth="1" style="939" min="5014" max="5014"/>
    <col width="9.109999999999999" customWidth="1" style="939" min="5015" max="5018"/>
    <col width="10.44" customWidth="1" style="939" min="5019" max="5019"/>
    <col width="18" customWidth="1" style="939" min="5020" max="5020"/>
    <col width="9.109999999999999" customWidth="1" style="939" min="5021" max="5251"/>
    <col width="7.33" customWidth="1" style="939" min="5252" max="5252"/>
    <col width="5" customWidth="1" style="939" min="5253" max="5253"/>
    <col width="5.44" customWidth="1" style="939" min="5254" max="5254"/>
    <col width="9.66" customWidth="1" style="939" min="5255" max="5255"/>
    <col width="5.44" customWidth="1" style="939" min="5256" max="5256"/>
    <col width="2" customWidth="1" style="939" min="5257" max="5257"/>
    <col width="7.55" customWidth="1" style="939" min="5258" max="5258"/>
    <col width="8.67" customWidth="1" style="939" min="5259" max="5259"/>
    <col width="4.67" customWidth="1" style="939" min="5260" max="5260"/>
    <col width="8.67" customWidth="1" style="939" min="5261" max="5261"/>
    <col width="6" customWidth="1" style="939" min="5262" max="5262"/>
    <col width="6.34" customWidth="1" style="939" min="5263" max="5263"/>
    <col width="8.67" customWidth="1" style="939" min="5264" max="5264"/>
    <col width="3.45" customWidth="1" style="939" min="5265" max="5265"/>
    <col width="3" customWidth="1" style="939" min="5266" max="5266"/>
    <col width="4.33" customWidth="1" style="939" min="5267" max="5267"/>
    <col width="5.56" customWidth="1" style="939" min="5268" max="5268"/>
    <col width="4.67" customWidth="1" style="939" min="5269" max="5269"/>
    <col width="15.45" customWidth="1" style="939" min="5270" max="5270"/>
    <col width="9.109999999999999" customWidth="1" style="939" min="5271" max="5274"/>
    <col width="10.44" customWidth="1" style="939" min="5275" max="5275"/>
    <col width="18" customWidth="1" style="939" min="5276" max="5276"/>
    <col width="9.109999999999999" customWidth="1" style="939" min="5277" max="5507"/>
    <col width="7.33" customWidth="1" style="939" min="5508" max="5508"/>
    <col width="5" customWidth="1" style="939" min="5509" max="5509"/>
    <col width="5.44" customWidth="1" style="939" min="5510" max="5510"/>
    <col width="9.66" customWidth="1" style="939" min="5511" max="5511"/>
    <col width="5.44" customWidth="1" style="939" min="5512" max="5512"/>
    <col width="2" customWidth="1" style="939" min="5513" max="5513"/>
    <col width="7.55" customWidth="1" style="939" min="5514" max="5514"/>
    <col width="8.67" customWidth="1" style="939" min="5515" max="5515"/>
    <col width="4.67" customWidth="1" style="939" min="5516" max="5516"/>
    <col width="8.67" customWidth="1" style="939" min="5517" max="5517"/>
    <col width="6" customWidth="1" style="939" min="5518" max="5518"/>
    <col width="6.34" customWidth="1" style="939" min="5519" max="5519"/>
    <col width="8.67" customWidth="1" style="939" min="5520" max="5520"/>
    <col width="3.45" customWidth="1" style="939" min="5521" max="5521"/>
    <col width="3" customWidth="1" style="939" min="5522" max="5522"/>
    <col width="4.33" customWidth="1" style="939" min="5523" max="5523"/>
    <col width="5.56" customWidth="1" style="939" min="5524" max="5524"/>
    <col width="4.67" customWidth="1" style="939" min="5525" max="5525"/>
    <col width="15.45" customWidth="1" style="939" min="5526" max="5526"/>
    <col width="9.109999999999999" customWidth="1" style="939" min="5527" max="5530"/>
    <col width="10.44" customWidth="1" style="939" min="5531" max="5531"/>
    <col width="18" customWidth="1" style="939" min="5532" max="5532"/>
    <col width="9.109999999999999" customWidth="1" style="939" min="5533" max="5763"/>
    <col width="7.33" customWidth="1" style="939" min="5764" max="5764"/>
    <col width="5" customWidth="1" style="939" min="5765" max="5765"/>
    <col width="5.44" customWidth="1" style="939" min="5766" max="5766"/>
    <col width="9.66" customWidth="1" style="939" min="5767" max="5767"/>
    <col width="5.44" customWidth="1" style="939" min="5768" max="5768"/>
    <col width="2" customWidth="1" style="939" min="5769" max="5769"/>
    <col width="7.55" customWidth="1" style="939" min="5770" max="5770"/>
    <col width="8.67" customWidth="1" style="939" min="5771" max="5771"/>
    <col width="4.67" customWidth="1" style="939" min="5772" max="5772"/>
    <col width="8.67" customWidth="1" style="939" min="5773" max="5773"/>
    <col width="6" customWidth="1" style="939" min="5774" max="5774"/>
    <col width="6.34" customWidth="1" style="939" min="5775" max="5775"/>
    <col width="8.67" customWidth="1" style="939" min="5776" max="5776"/>
    <col width="3.45" customWidth="1" style="939" min="5777" max="5777"/>
    <col width="3" customWidth="1" style="939" min="5778" max="5778"/>
    <col width="4.33" customWidth="1" style="939" min="5779" max="5779"/>
    <col width="5.56" customWidth="1" style="939" min="5780" max="5780"/>
    <col width="4.67" customWidth="1" style="939" min="5781" max="5781"/>
    <col width="15.45" customWidth="1" style="939" min="5782" max="5782"/>
    <col width="9.109999999999999" customWidth="1" style="939" min="5783" max="5786"/>
    <col width="10.44" customWidth="1" style="939" min="5787" max="5787"/>
    <col width="18" customWidth="1" style="939" min="5788" max="5788"/>
    <col width="9.109999999999999" customWidth="1" style="939" min="5789" max="6019"/>
    <col width="7.33" customWidth="1" style="939" min="6020" max="6020"/>
    <col width="5" customWidth="1" style="939" min="6021" max="6021"/>
    <col width="5.44" customWidth="1" style="939" min="6022" max="6022"/>
    <col width="9.66" customWidth="1" style="939" min="6023" max="6023"/>
    <col width="5.44" customWidth="1" style="939" min="6024" max="6024"/>
    <col width="2" customWidth="1" style="939" min="6025" max="6025"/>
    <col width="7.55" customWidth="1" style="939" min="6026" max="6026"/>
    <col width="8.67" customWidth="1" style="939" min="6027" max="6027"/>
    <col width="4.67" customWidth="1" style="939" min="6028" max="6028"/>
    <col width="8.67" customWidth="1" style="939" min="6029" max="6029"/>
    <col width="6" customWidth="1" style="939" min="6030" max="6030"/>
    <col width="6.34" customWidth="1" style="939" min="6031" max="6031"/>
    <col width="8.67" customWidth="1" style="939" min="6032" max="6032"/>
    <col width="3.45" customWidth="1" style="939" min="6033" max="6033"/>
    <col width="3" customWidth="1" style="939" min="6034" max="6034"/>
    <col width="4.33" customWidth="1" style="939" min="6035" max="6035"/>
    <col width="5.56" customWidth="1" style="939" min="6036" max="6036"/>
    <col width="4.67" customWidth="1" style="939" min="6037" max="6037"/>
    <col width="15.45" customWidth="1" style="939" min="6038" max="6038"/>
    <col width="9.109999999999999" customWidth="1" style="939" min="6039" max="6042"/>
    <col width="10.44" customWidth="1" style="939" min="6043" max="6043"/>
    <col width="18" customWidth="1" style="939" min="6044" max="6044"/>
    <col width="9.109999999999999" customWidth="1" style="939" min="6045" max="6275"/>
    <col width="7.33" customWidth="1" style="939" min="6276" max="6276"/>
    <col width="5" customWidth="1" style="939" min="6277" max="6277"/>
    <col width="5.44" customWidth="1" style="939" min="6278" max="6278"/>
    <col width="9.66" customWidth="1" style="939" min="6279" max="6279"/>
    <col width="5.44" customWidth="1" style="939" min="6280" max="6280"/>
    <col width="2" customWidth="1" style="939" min="6281" max="6281"/>
    <col width="7.55" customWidth="1" style="939" min="6282" max="6282"/>
    <col width="8.67" customWidth="1" style="939" min="6283" max="6283"/>
    <col width="4.67" customWidth="1" style="939" min="6284" max="6284"/>
    <col width="8.67" customWidth="1" style="939" min="6285" max="6285"/>
    <col width="6" customWidth="1" style="939" min="6286" max="6286"/>
    <col width="6.34" customWidth="1" style="939" min="6287" max="6287"/>
    <col width="8.67" customWidth="1" style="939" min="6288" max="6288"/>
    <col width="3.45" customWidth="1" style="939" min="6289" max="6289"/>
    <col width="3" customWidth="1" style="939" min="6290" max="6290"/>
    <col width="4.33" customWidth="1" style="939" min="6291" max="6291"/>
    <col width="5.56" customWidth="1" style="939" min="6292" max="6292"/>
    <col width="4.67" customWidth="1" style="939" min="6293" max="6293"/>
    <col width="15.45" customWidth="1" style="939" min="6294" max="6294"/>
    <col width="9.109999999999999" customWidth="1" style="939" min="6295" max="6298"/>
    <col width="10.44" customWidth="1" style="939" min="6299" max="6299"/>
    <col width="18" customWidth="1" style="939" min="6300" max="6300"/>
    <col width="9.109999999999999" customWidth="1" style="939" min="6301" max="6531"/>
    <col width="7.33" customWidth="1" style="939" min="6532" max="6532"/>
    <col width="5" customWidth="1" style="939" min="6533" max="6533"/>
    <col width="5.44" customWidth="1" style="939" min="6534" max="6534"/>
    <col width="9.66" customWidth="1" style="939" min="6535" max="6535"/>
    <col width="5.44" customWidth="1" style="939" min="6536" max="6536"/>
    <col width="2" customWidth="1" style="939" min="6537" max="6537"/>
    <col width="7.55" customWidth="1" style="939" min="6538" max="6538"/>
    <col width="8.67" customWidth="1" style="939" min="6539" max="6539"/>
    <col width="4.67" customWidth="1" style="939" min="6540" max="6540"/>
    <col width="8.67" customWidth="1" style="939" min="6541" max="6541"/>
    <col width="6" customWidth="1" style="939" min="6542" max="6542"/>
    <col width="6.34" customWidth="1" style="939" min="6543" max="6543"/>
    <col width="8.67" customWidth="1" style="939" min="6544" max="6544"/>
    <col width="3.45" customWidth="1" style="939" min="6545" max="6545"/>
    <col width="3" customWidth="1" style="939" min="6546" max="6546"/>
    <col width="4.33" customWidth="1" style="939" min="6547" max="6547"/>
    <col width="5.56" customWidth="1" style="939" min="6548" max="6548"/>
    <col width="4.67" customWidth="1" style="939" min="6549" max="6549"/>
    <col width="15.45" customWidth="1" style="939" min="6550" max="6550"/>
    <col width="9.109999999999999" customWidth="1" style="939" min="6551" max="6554"/>
    <col width="10.44" customWidth="1" style="939" min="6555" max="6555"/>
    <col width="18" customWidth="1" style="939" min="6556" max="6556"/>
    <col width="9.109999999999999" customWidth="1" style="939" min="6557" max="6787"/>
    <col width="7.33" customWidth="1" style="939" min="6788" max="6788"/>
    <col width="5" customWidth="1" style="939" min="6789" max="6789"/>
    <col width="5.44" customWidth="1" style="939" min="6790" max="6790"/>
    <col width="9.66" customWidth="1" style="939" min="6791" max="6791"/>
    <col width="5.44" customWidth="1" style="939" min="6792" max="6792"/>
    <col width="2" customWidth="1" style="939" min="6793" max="6793"/>
    <col width="7.55" customWidth="1" style="939" min="6794" max="6794"/>
    <col width="8.67" customWidth="1" style="939" min="6795" max="6795"/>
    <col width="4.67" customWidth="1" style="939" min="6796" max="6796"/>
    <col width="8.67" customWidth="1" style="939" min="6797" max="6797"/>
    <col width="6" customWidth="1" style="939" min="6798" max="6798"/>
    <col width="6.34" customWidth="1" style="939" min="6799" max="6799"/>
    <col width="8.67" customWidth="1" style="939" min="6800" max="6800"/>
    <col width="3.45" customWidth="1" style="939" min="6801" max="6801"/>
    <col width="3" customWidth="1" style="939" min="6802" max="6802"/>
    <col width="4.33" customWidth="1" style="939" min="6803" max="6803"/>
    <col width="5.56" customWidth="1" style="939" min="6804" max="6804"/>
    <col width="4.67" customWidth="1" style="939" min="6805" max="6805"/>
    <col width="15.45" customWidth="1" style="939" min="6806" max="6806"/>
    <col width="9.109999999999999" customWidth="1" style="939" min="6807" max="6810"/>
    <col width="10.44" customWidth="1" style="939" min="6811" max="6811"/>
    <col width="18" customWidth="1" style="939" min="6812" max="6812"/>
    <col width="9.109999999999999" customWidth="1" style="939" min="6813" max="7043"/>
    <col width="7.33" customWidth="1" style="939" min="7044" max="7044"/>
    <col width="5" customWidth="1" style="939" min="7045" max="7045"/>
    <col width="5.44" customWidth="1" style="939" min="7046" max="7046"/>
    <col width="9.66" customWidth="1" style="939" min="7047" max="7047"/>
    <col width="5.44" customWidth="1" style="939" min="7048" max="7048"/>
    <col width="2" customWidth="1" style="939" min="7049" max="7049"/>
    <col width="7.55" customWidth="1" style="939" min="7050" max="7050"/>
    <col width="8.67" customWidth="1" style="939" min="7051" max="7051"/>
    <col width="4.67" customWidth="1" style="939" min="7052" max="7052"/>
    <col width="8.67" customWidth="1" style="939" min="7053" max="7053"/>
    <col width="6" customWidth="1" style="939" min="7054" max="7054"/>
    <col width="6.34" customWidth="1" style="939" min="7055" max="7055"/>
    <col width="8.67" customWidth="1" style="939" min="7056" max="7056"/>
    <col width="3.45" customWidth="1" style="939" min="7057" max="7057"/>
    <col width="3" customWidth="1" style="939" min="7058" max="7058"/>
    <col width="4.33" customWidth="1" style="939" min="7059" max="7059"/>
    <col width="5.56" customWidth="1" style="939" min="7060" max="7060"/>
    <col width="4.67" customWidth="1" style="939" min="7061" max="7061"/>
    <col width="15.45" customWidth="1" style="939" min="7062" max="7062"/>
    <col width="9.109999999999999" customWidth="1" style="939" min="7063" max="7066"/>
    <col width="10.44" customWidth="1" style="939" min="7067" max="7067"/>
    <col width="18" customWidth="1" style="939" min="7068" max="7068"/>
    <col width="9.109999999999999" customWidth="1" style="939" min="7069" max="7299"/>
    <col width="7.33" customWidth="1" style="939" min="7300" max="7300"/>
    <col width="5" customWidth="1" style="939" min="7301" max="7301"/>
    <col width="5.44" customWidth="1" style="939" min="7302" max="7302"/>
    <col width="9.66" customWidth="1" style="939" min="7303" max="7303"/>
    <col width="5.44" customWidth="1" style="939" min="7304" max="7304"/>
    <col width="2" customWidth="1" style="939" min="7305" max="7305"/>
    <col width="7.55" customWidth="1" style="939" min="7306" max="7306"/>
    <col width="8.67" customWidth="1" style="939" min="7307" max="7307"/>
    <col width="4.67" customWidth="1" style="939" min="7308" max="7308"/>
    <col width="8.67" customWidth="1" style="939" min="7309" max="7309"/>
    <col width="6" customWidth="1" style="939" min="7310" max="7310"/>
    <col width="6.34" customWidth="1" style="939" min="7311" max="7311"/>
    <col width="8.67" customWidth="1" style="939" min="7312" max="7312"/>
    <col width="3.45" customWidth="1" style="939" min="7313" max="7313"/>
    <col width="3" customWidth="1" style="939" min="7314" max="7314"/>
    <col width="4.33" customWidth="1" style="939" min="7315" max="7315"/>
    <col width="5.56" customWidth="1" style="939" min="7316" max="7316"/>
    <col width="4.67" customWidth="1" style="939" min="7317" max="7317"/>
    <col width="15.45" customWidth="1" style="939" min="7318" max="7318"/>
    <col width="9.109999999999999" customWidth="1" style="939" min="7319" max="7322"/>
    <col width="10.44" customWidth="1" style="939" min="7323" max="7323"/>
    <col width="18" customWidth="1" style="939" min="7324" max="7324"/>
    <col width="9.109999999999999" customWidth="1" style="939" min="7325" max="7555"/>
    <col width="7.33" customWidth="1" style="939" min="7556" max="7556"/>
    <col width="5" customWidth="1" style="939" min="7557" max="7557"/>
    <col width="5.44" customWidth="1" style="939" min="7558" max="7558"/>
    <col width="9.66" customWidth="1" style="939" min="7559" max="7559"/>
    <col width="5.44" customWidth="1" style="939" min="7560" max="7560"/>
    <col width="2" customWidth="1" style="939" min="7561" max="7561"/>
    <col width="7.55" customWidth="1" style="939" min="7562" max="7562"/>
    <col width="8.67" customWidth="1" style="939" min="7563" max="7563"/>
    <col width="4.67" customWidth="1" style="939" min="7564" max="7564"/>
    <col width="8.67" customWidth="1" style="939" min="7565" max="7565"/>
    <col width="6" customWidth="1" style="939" min="7566" max="7566"/>
    <col width="6.34" customWidth="1" style="939" min="7567" max="7567"/>
    <col width="8.67" customWidth="1" style="939" min="7568" max="7568"/>
    <col width="3.45" customWidth="1" style="939" min="7569" max="7569"/>
    <col width="3" customWidth="1" style="939" min="7570" max="7570"/>
    <col width="4.33" customWidth="1" style="939" min="7571" max="7571"/>
    <col width="5.56" customWidth="1" style="939" min="7572" max="7572"/>
    <col width="4.67" customWidth="1" style="939" min="7573" max="7573"/>
    <col width="15.45" customWidth="1" style="939" min="7574" max="7574"/>
    <col width="9.109999999999999" customWidth="1" style="939" min="7575" max="7578"/>
    <col width="10.44" customWidth="1" style="939" min="7579" max="7579"/>
    <col width="18" customWidth="1" style="939" min="7580" max="7580"/>
    <col width="9.109999999999999" customWidth="1" style="939" min="7581" max="7811"/>
    <col width="7.33" customWidth="1" style="939" min="7812" max="7812"/>
    <col width="5" customWidth="1" style="939" min="7813" max="7813"/>
    <col width="5.44" customWidth="1" style="939" min="7814" max="7814"/>
    <col width="9.66" customWidth="1" style="939" min="7815" max="7815"/>
    <col width="5.44" customWidth="1" style="939" min="7816" max="7816"/>
    <col width="2" customWidth="1" style="939" min="7817" max="7817"/>
    <col width="7.55" customWidth="1" style="939" min="7818" max="7818"/>
    <col width="8.67" customWidth="1" style="939" min="7819" max="7819"/>
    <col width="4.67" customWidth="1" style="939" min="7820" max="7820"/>
    <col width="8.67" customWidth="1" style="939" min="7821" max="7821"/>
    <col width="6" customWidth="1" style="939" min="7822" max="7822"/>
    <col width="6.34" customWidth="1" style="939" min="7823" max="7823"/>
    <col width="8.67" customWidth="1" style="939" min="7824" max="7824"/>
    <col width="3.45" customWidth="1" style="939" min="7825" max="7825"/>
    <col width="3" customWidth="1" style="939" min="7826" max="7826"/>
    <col width="4.33" customWidth="1" style="939" min="7827" max="7827"/>
    <col width="5.56" customWidth="1" style="939" min="7828" max="7828"/>
    <col width="4.67" customWidth="1" style="939" min="7829" max="7829"/>
    <col width="15.45" customWidth="1" style="939" min="7830" max="7830"/>
    <col width="9.109999999999999" customWidth="1" style="939" min="7831" max="7834"/>
    <col width="10.44" customWidth="1" style="939" min="7835" max="7835"/>
    <col width="18" customWidth="1" style="939" min="7836" max="7836"/>
    <col width="9.109999999999999" customWidth="1" style="939" min="7837" max="8067"/>
    <col width="7.33" customWidth="1" style="939" min="8068" max="8068"/>
    <col width="5" customWidth="1" style="939" min="8069" max="8069"/>
    <col width="5.44" customWidth="1" style="939" min="8070" max="8070"/>
    <col width="9.66" customWidth="1" style="939" min="8071" max="8071"/>
    <col width="5.44" customWidth="1" style="939" min="8072" max="8072"/>
    <col width="2" customWidth="1" style="939" min="8073" max="8073"/>
    <col width="7.55" customWidth="1" style="939" min="8074" max="8074"/>
    <col width="8.67" customWidth="1" style="939" min="8075" max="8075"/>
    <col width="4.67" customWidth="1" style="939" min="8076" max="8076"/>
    <col width="8.67" customWidth="1" style="939" min="8077" max="8077"/>
    <col width="6" customWidth="1" style="939" min="8078" max="8078"/>
    <col width="6.34" customWidth="1" style="939" min="8079" max="8079"/>
    <col width="8.67" customWidth="1" style="939" min="8080" max="8080"/>
    <col width="3.45" customWidth="1" style="939" min="8081" max="8081"/>
    <col width="3" customWidth="1" style="939" min="8082" max="8082"/>
    <col width="4.33" customWidth="1" style="939" min="8083" max="8083"/>
    <col width="5.56" customWidth="1" style="939" min="8084" max="8084"/>
    <col width="4.67" customWidth="1" style="939" min="8085" max="8085"/>
    <col width="15.45" customWidth="1" style="939" min="8086" max="8086"/>
    <col width="9.109999999999999" customWidth="1" style="939" min="8087" max="8090"/>
    <col width="10.44" customWidth="1" style="939" min="8091" max="8091"/>
    <col width="18" customWidth="1" style="939" min="8092" max="8092"/>
    <col width="9.109999999999999" customWidth="1" style="939" min="8093" max="8323"/>
    <col width="7.33" customWidth="1" style="939" min="8324" max="8324"/>
    <col width="5" customWidth="1" style="939" min="8325" max="8325"/>
    <col width="5.44" customWidth="1" style="939" min="8326" max="8326"/>
    <col width="9.66" customWidth="1" style="939" min="8327" max="8327"/>
    <col width="5.44" customWidth="1" style="939" min="8328" max="8328"/>
    <col width="2" customWidth="1" style="939" min="8329" max="8329"/>
    <col width="7.55" customWidth="1" style="939" min="8330" max="8330"/>
    <col width="8.67" customWidth="1" style="939" min="8331" max="8331"/>
    <col width="4.67" customWidth="1" style="939" min="8332" max="8332"/>
    <col width="8.67" customWidth="1" style="939" min="8333" max="8333"/>
    <col width="6" customWidth="1" style="939" min="8334" max="8334"/>
    <col width="6.34" customWidth="1" style="939" min="8335" max="8335"/>
    <col width="8.67" customWidth="1" style="939" min="8336" max="8336"/>
    <col width="3.45" customWidth="1" style="939" min="8337" max="8337"/>
    <col width="3" customWidth="1" style="939" min="8338" max="8338"/>
    <col width="4.33" customWidth="1" style="939" min="8339" max="8339"/>
    <col width="5.56" customWidth="1" style="939" min="8340" max="8340"/>
    <col width="4.67" customWidth="1" style="939" min="8341" max="8341"/>
    <col width="15.45" customWidth="1" style="939" min="8342" max="8342"/>
    <col width="9.109999999999999" customWidth="1" style="939" min="8343" max="8346"/>
    <col width="10.44" customWidth="1" style="939" min="8347" max="8347"/>
    <col width="18" customWidth="1" style="939" min="8348" max="8348"/>
    <col width="9.109999999999999" customWidth="1" style="939" min="8349" max="8579"/>
    <col width="7.33" customWidth="1" style="939" min="8580" max="8580"/>
    <col width="5" customWidth="1" style="939" min="8581" max="8581"/>
    <col width="5.44" customWidth="1" style="939" min="8582" max="8582"/>
    <col width="9.66" customWidth="1" style="939" min="8583" max="8583"/>
    <col width="5.44" customWidth="1" style="939" min="8584" max="8584"/>
    <col width="2" customWidth="1" style="939" min="8585" max="8585"/>
    <col width="7.55" customWidth="1" style="939" min="8586" max="8586"/>
    <col width="8.67" customWidth="1" style="939" min="8587" max="8587"/>
    <col width="4.67" customWidth="1" style="939" min="8588" max="8588"/>
    <col width="8.67" customWidth="1" style="939" min="8589" max="8589"/>
    <col width="6" customWidth="1" style="939" min="8590" max="8590"/>
    <col width="6.34" customWidth="1" style="939" min="8591" max="8591"/>
    <col width="8.67" customWidth="1" style="939" min="8592" max="8592"/>
    <col width="3.45" customWidth="1" style="939" min="8593" max="8593"/>
    <col width="3" customWidth="1" style="939" min="8594" max="8594"/>
    <col width="4.33" customWidth="1" style="939" min="8595" max="8595"/>
    <col width="5.56" customWidth="1" style="939" min="8596" max="8596"/>
    <col width="4.67" customWidth="1" style="939" min="8597" max="8597"/>
    <col width="15.45" customWidth="1" style="939" min="8598" max="8598"/>
    <col width="9.109999999999999" customWidth="1" style="939" min="8599" max="8602"/>
    <col width="10.44" customWidth="1" style="939" min="8603" max="8603"/>
    <col width="18" customWidth="1" style="939" min="8604" max="8604"/>
    <col width="9.109999999999999" customWidth="1" style="939" min="8605" max="8835"/>
    <col width="7.33" customWidth="1" style="939" min="8836" max="8836"/>
    <col width="5" customWidth="1" style="939" min="8837" max="8837"/>
    <col width="5.44" customWidth="1" style="939" min="8838" max="8838"/>
    <col width="9.66" customWidth="1" style="939" min="8839" max="8839"/>
    <col width="5.44" customWidth="1" style="939" min="8840" max="8840"/>
    <col width="2" customWidth="1" style="939" min="8841" max="8841"/>
    <col width="7.55" customWidth="1" style="939" min="8842" max="8842"/>
    <col width="8.67" customWidth="1" style="939" min="8843" max="8843"/>
    <col width="4.67" customWidth="1" style="939" min="8844" max="8844"/>
    <col width="8.67" customWidth="1" style="939" min="8845" max="8845"/>
    <col width="6" customWidth="1" style="939" min="8846" max="8846"/>
    <col width="6.34" customWidth="1" style="939" min="8847" max="8847"/>
    <col width="8.67" customWidth="1" style="939" min="8848" max="8848"/>
    <col width="3.45" customWidth="1" style="939" min="8849" max="8849"/>
    <col width="3" customWidth="1" style="939" min="8850" max="8850"/>
    <col width="4.33" customWidth="1" style="939" min="8851" max="8851"/>
    <col width="5.56" customWidth="1" style="939" min="8852" max="8852"/>
    <col width="4.67" customWidth="1" style="939" min="8853" max="8853"/>
    <col width="15.45" customWidth="1" style="939" min="8854" max="8854"/>
    <col width="9.109999999999999" customWidth="1" style="939" min="8855" max="8858"/>
    <col width="10.44" customWidth="1" style="939" min="8859" max="8859"/>
    <col width="18" customWidth="1" style="939" min="8860" max="8860"/>
    <col width="9.109999999999999" customWidth="1" style="939" min="8861" max="9091"/>
    <col width="7.33" customWidth="1" style="939" min="9092" max="9092"/>
    <col width="5" customWidth="1" style="939" min="9093" max="9093"/>
    <col width="5.44" customWidth="1" style="939" min="9094" max="9094"/>
    <col width="9.66" customWidth="1" style="939" min="9095" max="9095"/>
    <col width="5.44" customWidth="1" style="939" min="9096" max="9096"/>
    <col width="2" customWidth="1" style="939" min="9097" max="9097"/>
    <col width="7.55" customWidth="1" style="939" min="9098" max="9098"/>
    <col width="8.67" customWidth="1" style="939" min="9099" max="9099"/>
    <col width="4.67" customWidth="1" style="939" min="9100" max="9100"/>
    <col width="8.67" customWidth="1" style="939" min="9101" max="9101"/>
    <col width="6" customWidth="1" style="939" min="9102" max="9102"/>
    <col width="6.34" customWidth="1" style="939" min="9103" max="9103"/>
    <col width="8.67" customWidth="1" style="939" min="9104" max="9104"/>
    <col width="3.45" customWidth="1" style="939" min="9105" max="9105"/>
    <col width="3" customWidth="1" style="939" min="9106" max="9106"/>
    <col width="4.33" customWidth="1" style="939" min="9107" max="9107"/>
    <col width="5.56" customWidth="1" style="939" min="9108" max="9108"/>
    <col width="4.67" customWidth="1" style="939" min="9109" max="9109"/>
    <col width="15.45" customWidth="1" style="939" min="9110" max="9110"/>
    <col width="9.109999999999999" customWidth="1" style="939" min="9111" max="9114"/>
    <col width="10.44" customWidth="1" style="939" min="9115" max="9115"/>
    <col width="18" customWidth="1" style="939" min="9116" max="9116"/>
    <col width="9.109999999999999" customWidth="1" style="939" min="9117" max="9347"/>
    <col width="7.33" customWidth="1" style="939" min="9348" max="9348"/>
    <col width="5" customWidth="1" style="939" min="9349" max="9349"/>
    <col width="5.44" customWidth="1" style="939" min="9350" max="9350"/>
    <col width="9.66" customWidth="1" style="939" min="9351" max="9351"/>
    <col width="5.44" customWidth="1" style="939" min="9352" max="9352"/>
    <col width="2" customWidth="1" style="939" min="9353" max="9353"/>
    <col width="7.55" customWidth="1" style="939" min="9354" max="9354"/>
    <col width="8.67" customWidth="1" style="939" min="9355" max="9355"/>
    <col width="4.67" customWidth="1" style="939" min="9356" max="9356"/>
    <col width="8.67" customWidth="1" style="939" min="9357" max="9357"/>
    <col width="6" customWidth="1" style="939" min="9358" max="9358"/>
    <col width="6.34" customWidth="1" style="939" min="9359" max="9359"/>
    <col width="8.67" customWidth="1" style="939" min="9360" max="9360"/>
    <col width="3.45" customWidth="1" style="939" min="9361" max="9361"/>
    <col width="3" customWidth="1" style="939" min="9362" max="9362"/>
    <col width="4.33" customWidth="1" style="939" min="9363" max="9363"/>
    <col width="5.56" customWidth="1" style="939" min="9364" max="9364"/>
    <col width="4.67" customWidth="1" style="939" min="9365" max="9365"/>
    <col width="15.45" customWidth="1" style="939" min="9366" max="9366"/>
    <col width="9.109999999999999" customWidth="1" style="939" min="9367" max="9370"/>
    <col width="10.44" customWidth="1" style="939" min="9371" max="9371"/>
    <col width="18" customWidth="1" style="939" min="9372" max="9372"/>
    <col width="9.109999999999999" customWidth="1" style="939" min="9373" max="9603"/>
    <col width="7.33" customWidth="1" style="939" min="9604" max="9604"/>
    <col width="5" customWidth="1" style="939" min="9605" max="9605"/>
    <col width="5.44" customWidth="1" style="939" min="9606" max="9606"/>
    <col width="9.66" customWidth="1" style="939" min="9607" max="9607"/>
    <col width="5.44" customWidth="1" style="939" min="9608" max="9608"/>
    <col width="2" customWidth="1" style="939" min="9609" max="9609"/>
    <col width="7.55" customWidth="1" style="939" min="9610" max="9610"/>
    <col width="8.67" customWidth="1" style="939" min="9611" max="9611"/>
    <col width="4.67" customWidth="1" style="939" min="9612" max="9612"/>
    <col width="8.67" customWidth="1" style="939" min="9613" max="9613"/>
    <col width="6" customWidth="1" style="939" min="9614" max="9614"/>
    <col width="6.34" customWidth="1" style="939" min="9615" max="9615"/>
    <col width="8.67" customWidth="1" style="939" min="9616" max="9616"/>
    <col width="3.45" customWidth="1" style="939" min="9617" max="9617"/>
    <col width="3" customWidth="1" style="939" min="9618" max="9618"/>
    <col width="4.33" customWidth="1" style="939" min="9619" max="9619"/>
    <col width="5.56" customWidth="1" style="939" min="9620" max="9620"/>
    <col width="4.67" customWidth="1" style="939" min="9621" max="9621"/>
    <col width="15.45" customWidth="1" style="939" min="9622" max="9622"/>
    <col width="9.109999999999999" customWidth="1" style="939" min="9623" max="9626"/>
    <col width="10.44" customWidth="1" style="939" min="9627" max="9627"/>
    <col width="18" customWidth="1" style="939" min="9628" max="9628"/>
    <col width="9.109999999999999" customWidth="1" style="939" min="9629" max="9859"/>
    <col width="7.33" customWidth="1" style="939" min="9860" max="9860"/>
    <col width="5" customWidth="1" style="939" min="9861" max="9861"/>
    <col width="5.44" customWidth="1" style="939" min="9862" max="9862"/>
    <col width="9.66" customWidth="1" style="939" min="9863" max="9863"/>
    <col width="5.44" customWidth="1" style="939" min="9864" max="9864"/>
    <col width="2" customWidth="1" style="939" min="9865" max="9865"/>
    <col width="7.55" customWidth="1" style="939" min="9866" max="9866"/>
    <col width="8.67" customWidth="1" style="939" min="9867" max="9867"/>
    <col width="4.67" customWidth="1" style="939" min="9868" max="9868"/>
    <col width="8.67" customWidth="1" style="939" min="9869" max="9869"/>
    <col width="6" customWidth="1" style="939" min="9870" max="9870"/>
    <col width="6.34" customWidth="1" style="939" min="9871" max="9871"/>
    <col width="8.67" customWidth="1" style="939" min="9872" max="9872"/>
    <col width="3.45" customWidth="1" style="939" min="9873" max="9873"/>
    <col width="3" customWidth="1" style="939" min="9874" max="9874"/>
    <col width="4.33" customWidth="1" style="939" min="9875" max="9875"/>
    <col width="5.56" customWidth="1" style="939" min="9876" max="9876"/>
    <col width="4.67" customWidth="1" style="939" min="9877" max="9877"/>
    <col width="15.45" customWidth="1" style="939" min="9878" max="9878"/>
    <col width="9.109999999999999" customWidth="1" style="939" min="9879" max="9882"/>
    <col width="10.44" customWidth="1" style="939" min="9883" max="9883"/>
    <col width="18" customWidth="1" style="939" min="9884" max="9884"/>
    <col width="9.109999999999999" customWidth="1" style="939" min="9885" max="10115"/>
    <col width="7.33" customWidth="1" style="939" min="10116" max="10116"/>
    <col width="5" customWidth="1" style="939" min="10117" max="10117"/>
    <col width="5.44" customWidth="1" style="939" min="10118" max="10118"/>
    <col width="9.66" customWidth="1" style="939" min="10119" max="10119"/>
    <col width="5.44" customWidth="1" style="939" min="10120" max="10120"/>
    <col width="2" customWidth="1" style="939" min="10121" max="10121"/>
    <col width="7.55" customWidth="1" style="939" min="10122" max="10122"/>
    <col width="8.67" customWidth="1" style="939" min="10123" max="10123"/>
    <col width="4.67" customWidth="1" style="939" min="10124" max="10124"/>
    <col width="8.67" customWidth="1" style="939" min="10125" max="10125"/>
    <col width="6" customWidth="1" style="939" min="10126" max="10126"/>
    <col width="6.34" customWidth="1" style="939" min="10127" max="10127"/>
    <col width="8.67" customWidth="1" style="939" min="10128" max="10128"/>
    <col width="3.45" customWidth="1" style="939" min="10129" max="10129"/>
    <col width="3" customWidth="1" style="939" min="10130" max="10130"/>
    <col width="4.33" customWidth="1" style="939" min="10131" max="10131"/>
    <col width="5.56" customWidth="1" style="939" min="10132" max="10132"/>
    <col width="4.67" customWidth="1" style="939" min="10133" max="10133"/>
    <col width="15.45" customWidth="1" style="939" min="10134" max="10134"/>
    <col width="9.109999999999999" customWidth="1" style="939" min="10135" max="10138"/>
    <col width="10.44" customWidth="1" style="939" min="10139" max="10139"/>
    <col width="18" customWidth="1" style="939" min="10140" max="10140"/>
    <col width="9.109999999999999" customWidth="1" style="939" min="10141" max="10371"/>
    <col width="7.33" customWidth="1" style="939" min="10372" max="10372"/>
    <col width="5" customWidth="1" style="939" min="10373" max="10373"/>
    <col width="5.44" customWidth="1" style="939" min="10374" max="10374"/>
    <col width="9.66" customWidth="1" style="939" min="10375" max="10375"/>
    <col width="5.44" customWidth="1" style="939" min="10376" max="10376"/>
    <col width="2" customWidth="1" style="939" min="10377" max="10377"/>
    <col width="7.55" customWidth="1" style="939" min="10378" max="10378"/>
    <col width="8.67" customWidth="1" style="939" min="10379" max="10379"/>
    <col width="4.67" customWidth="1" style="939" min="10380" max="10380"/>
    <col width="8.67" customWidth="1" style="939" min="10381" max="10381"/>
    <col width="6" customWidth="1" style="939" min="10382" max="10382"/>
    <col width="6.34" customWidth="1" style="939" min="10383" max="10383"/>
    <col width="8.67" customWidth="1" style="939" min="10384" max="10384"/>
    <col width="3.45" customWidth="1" style="939" min="10385" max="10385"/>
    <col width="3" customWidth="1" style="939" min="10386" max="10386"/>
    <col width="4.33" customWidth="1" style="939" min="10387" max="10387"/>
    <col width="5.56" customWidth="1" style="939" min="10388" max="10388"/>
    <col width="4.67" customWidth="1" style="939" min="10389" max="10389"/>
    <col width="15.45" customWidth="1" style="939" min="10390" max="10390"/>
    <col width="9.109999999999999" customWidth="1" style="939" min="10391" max="10394"/>
    <col width="10.44" customWidth="1" style="939" min="10395" max="10395"/>
    <col width="18" customWidth="1" style="939" min="10396" max="10396"/>
    <col width="9.109999999999999" customWidth="1" style="939" min="10397" max="10627"/>
    <col width="7.33" customWidth="1" style="939" min="10628" max="10628"/>
    <col width="5" customWidth="1" style="939" min="10629" max="10629"/>
    <col width="5.44" customWidth="1" style="939" min="10630" max="10630"/>
    <col width="9.66" customWidth="1" style="939" min="10631" max="10631"/>
    <col width="5.44" customWidth="1" style="939" min="10632" max="10632"/>
    <col width="2" customWidth="1" style="939" min="10633" max="10633"/>
    <col width="7.55" customWidth="1" style="939" min="10634" max="10634"/>
    <col width="8.67" customWidth="1" style="939" min="10635" max="10635"/>
    <col width="4.67" customWidth="1" style="939" min="10636" max="10636"/>
    <col width="8.67" customWidth="1" style="939" min="10637" max="10637"/>
    <col width="6" customWidth="1" style="939" min="10638" max="10638"/>
    <col width="6.34" customWidth="1" style="939" min="10639" max="10639"/>
    <col width="8.67" customWidth="1" style="939" min="10640" max="10640"/>
    <col width="3.45" customWidth="1" style="939" min="10641" max="10641"/>
    <col width="3" customWidth="1" style="939" min="10642" max="10642"/>
    <col width="4.33" customWidth="1" style="939" min="10643" max="10643"/>
    <col width="5.56" customWidth="1" style="939" min="10644" max="10644"/>
    <col width="4.67" customWidth="1" style="939" min="10645" max="10645"/>
    <col width="15.45" customWidth="1" style="939" min="10646" max="10646"/>
    <col width="9.109999999999999" customWidth="1" style="939" min="10647" max="10650"/>
    <col width="10.44" customWidth="1" style="939" min="10651" max="10651"/>
    <col width="18" customWidth="1" style="939" min="10652" max="10652"/>
    <col width="9.109999999999999" customWidth="1" style="939" min="10653" max="10883"/>
    <col width="7.33" customWidth="1" style="939" min="10884" max="10884"/>
    <col width="5" customWidth="1" style="939" min="10885" max="10885"/>
    <col width="5.44" customWidth="1" style="939" min="10886" max="10886"/>
    <col width="9.66" customWidth="1" style="939" min="10887" max="10887"/>
    <col width="5.44" customWidth="1" style="939" min="10888" max="10888"/>
    <col width="2" customWidth="1" style="939" min="10889" max="10889"/>
    <col width="7.55" customWidth="1" style="939" min="10890" max="10890"/>
    <col width="8.67" customWidth="1" style="939" min="10891" max="10891"/>
    <col width="4.67" customWidth="1" style="939" min="10892" max="10892"/>
    <col width="8.67" customWidth="1" style="939" min="10893" max="10893"/>
    <col width="6" customWidth="1" style="939" min="10894" max="10894"/>
    <col width="6.34" customWidth="1" style="939" min="10895" max="10895"/>
    <col width="8.67" customWidth="1" style="939" min="10896" max="10896"/>
    <col width="3.45" customWidth="1" style="939" min="10897" max="10897"/>
    <col width="3" customWidth="1" style="939" min="10898" max="10898"/>
    <col width="4.33" customWidth="1" style="939" min="10899" max="10899"/>
    <col width="5.56" customWidth="1" style="939" min="10900" max="10900"/>
    <col width="4.67" customWidth="1" style="939" min="10901" max="10901"/>
    <col width="15.45" customWidth="1" style="939" min="10902" max="10902"/>
    <col width="9.109999999999999" customWidth="1" style="939" min="10903" max="10906"/>
    <col width="10.44" customWidth="1" style="939" min="10907" max="10907"/>
    <col width="18" customWidth="1" style="939" min="10908" max="10908"/>
    <col width="9.109999999999999" customWidth="1" style="939" min="10909" max="11139"/>
    <col width="7.33" customWidth="1" style="939" min="11140" max="11140"/>
    <col width="5" customWidth="1" style="939" min="11141" max="11141"/>
    <col width="5.44" customWidth="1" style="939" min="11142" max="11142"/>
    <col width="9.66" customWidth="1" style="939" min="11143" max="11143"/>
    <col width="5.44" customWidth="1" style="939" min="11144" max="11144"/>
    <col width="2" customWidth="1" style="939" min="11145" max="11145"/>
    <col width="7.55" customWidth="1" style="939" min="11146" max="11146"/>
    <col width="8.67" customWidth="1" style="939" min="11147" max="11147"/>
    <col width="4.67" customWidth="1" style="939" min="11148" max="11148"/>
    <col width="8.67" customWidth="1" style="939" min="11149" max="11149"/>
    <col width="6" customWidth="1" style="939" min="11150" max="11150"/>
    <col width="6.34" customWidth="1" style="939" min="11151" max="11151"/>
    <col width="8.67" customWidth="1" style="939" min="11152" max="11152"/>
    <col width="3.45" customWidth="1" style="939" min="11153" max="11153"/>
    <col width="3" customWidth="1" style="939" min="11154" max="11154"/>
    <col width="4.33" customWidth="1" style="939" min="11155" max="11155"/>
    <col width="5.56" customWidth="1" style="939" min="11156" max="11156"/>
    <col width="4.67" customWidth="1" style="939" min="11157" max="11157"/>
    <col width="15.45" customWidth="1" style="939" min="11158" max="11158"/>
    <col width="9.109999999999999" customWidth="1" style="939" min="11159" max="11162"/>
    <col width="10.44" customWidth="1" style="939" min="11163" max="11163"/>
    <col width="18" customWidth="1" style="939" min="11164" max="11164"/>
    <col width="9.109999999999999" customWidth="1" style="939" min="11165" max="11395"/>
    <col width="7.33" customWidth="1" style="939" min="11396" max="11396"/>
    <col width="5" customWidth="1" style="939" min="11397" max="11397"/>
    <col width="5.44" customWidth="1" style="939" min="11398" max="11398"/>
    <col width="9.66" customWidth="1" style="939" min="11399" max="11399"/>
    <col width="5.44" customWidth="1" style="939" min="11400" max="11400"/>
    <col width="2" customWidth="1" style="939" min="11401" max="11401"/>
    <col width="7.55" customWidth="1" style="939" min="11402" max="11402"/>
    <col width="8.67" customWidth="1" style="939" min="11403" max="11403"/>
    <col width="4.67" customWidth="1" style="939" min="11404" max="11404"/>
    <col width="8.67" customWidth="1" style="939" min="11405" max="11405"/>
    <col width="6" customWidth="1" style="939" min="11406" max="11406"/>
    <col width="6.34" customWidth="1" style="939" min="11407" max="11407"/>
    <col width="8.67" customWidth="1" style="939" min="11408" max="11408"/>
    <col width="3.45" customWidth="1" style="939" min="11409" max="11409"/>
    <col width="3" customWidth="1" style="939" min="11410" max="11410"/>
    <col width="4.33" customWidth="1" style="939" min="11411" max="11411"/>
    <col width="5.56" customWidth="1" style="939" min="11412" max="11412"/>
    <col width="4.67" customWidth="1" style="939" min="11413" max="11413"/>
    <col width="15.45" customWidth="1" style="939" min="11414" max="11414"/>
    <col width="9.109999999999999" customWidth="1" style="939" min="11415" max="11418"/>
    <col width="10.44" customWidth="1" style="939" min="11419" max="11419"/>
    <col width="18" customWidth="1" style="939" min="11420" max="11420"/>
    <col width="9.109999999999999" customWidth="1" style="939" min="11421" max="11651"/>
    <col width="7.33" customWidth="1" style="939" min="11652" max="11652"/>
    <col width="5" customWidth="1" style="939" min="11653" max="11653"/>
    <col width="5.44" customWidth="1" style="939" min="11654" max="11654"/>
    <col width="9.66" customWidth="1" style="939" min="11655" max="11655"/>
    <col width="5.44" customWidth="1" style="939" min="11656" max="11656"/>
    <col width="2" customWidth="1" style="939" min="11657" max="11657"/>
    <col width="7.55" customWidth="1" style="939" min="11658" max="11658"/>
    <col width="8.67" customWidth="1" style="939" min="11659" max="11659"/>
    <col width="4.67" customWidth="1" style="939" min="11660" max="11660"/>
    <col width="8.67" customWidth="1" style="939" min="11661" max="11661"/>
    <col width="6" customWidth="1" style="939" min="11662" max="11662"/>
    <col width="6.34" customWidth="1" style="939" min="11663" max="11663"/>
    <col width="8.67" customWidth="1" style="939" min="11664" max="11664"/>
    <col width="3.45" customWidth="1" style="939" min="11665" max="11665"/>
    <col width="3" customWidth="1" style="939" min="11666" max="11666"/>
    <col width="4.33" customWidth="1" style="939" min="11667" max="11667"/>
    <col width="5.56" customWidth="1" style="939" min="11668" max="11668"/>
    <col width="4.67" customWidth="1" style="939" min="11669" max="11669"/>
    <col width="15.45" customWidth="1" style="939" min="11670" max="11670"/>
    <col width="9.109999999999999" customWidth="1" style="939" min="11671" max="11674"/>
    <col width="10.44" customWidth="1" style="939" min="11675" max="11675"/>
    <col width="18" customWidth="1" style="939" min="11676" max="11676"/>
    <col width="9.109999999999999" customWidth="1" style="939" min="11677" max="11907"/>
    <col width="7.33" customWidth="1" style="939" min="11908" max="11908"/>
    <col width="5" customWidth="1" style="939" min="11909" max="11909"/>
    <col width="5.44" customWidth="1" style="939" min="11910" max="11910"/>
    <col width="9.66" customWidth="1" style="939" min="11911" max="11911"/>
    <col width="5.44" customWidth="1" style="939" min="11912" max="11912"/>
    <col width="2" customWidth="1" style="939" min="11913" max="11913"/>
    <col width="7.55" customWidth="1" style="939" min="11914" max="11914"/>
    <col width="8.67" customWidth="1" style="939" min="11915" max="11915"/>
    <col width="4.67" customWidth="1" style="939" min="11916" max="11916"/>
    <col width="8.67" customWidth="1" style="939" min="11917" max="11917"/>
    <col width="6" customWidth="1" style="939" min="11918" max="11918"/>
    <col width="6.34" customWidth="1" style="939" min="11919" max="11919"/>
    <col width="8.67" customWidth="1" style="939" min="11920" max="11920"/>
    <col width="3.45" customWidth="1" style="939" min="11921" max="11921"/>
    <col width="3" customWidth="1" style="939" min="11922" max="11922"/>
    <col width="4.33" customWidth="1" style="939" min="11923" max="11923"/>
    <col width="5.56" customWidth="1" style="939" min="11924" max="11924"/>
    <col width="4.67" customWidth="1" style="939" min="11925" max="11925"/>
    <col width="15.45" customWidth="1" style="939" min="11926" max="11926"/>
    <col width="9.109999999999999" customWidth="1" style="939" min="11927" max="11930"/>
    <col width="10.44" customWidth="1" style="939" min="11931" max="11931"/>
    <col width="18" customWidth="1" style="939" min="11932" max="11932"/>
    <col width="9.109999999999999" customWidth="1" style="939" min="11933" max="12163"/>
    <col width="7.33" customWidth="1" style="939" min="12164" max="12164"/>
    <col width="5" customWidth="1" style="939" min="12165" max="12165"/>
    <col width="5.44" customWidth="1" style="939" min="12166" max="12166"/>
    <col width="9.66" customWidth="1" style="939" min="12167" max="12167"/>
    <col width="5.44" customWidth="1" style="939" min="12168" max="12168"/>
    <col width="2" customWidth="1" style="939" min="12169" max="12169"/>
    <col width="7.55" customWidth="1" style="939" min="12170" max="12170"/>
    <col width="8.67" customWidth="1" style="939" min="12171" max="12171"/>
    <col width="4.67" customWidth="1" style="939" min="12172" max="12172"/>
    <col width="8.67" customWidth="1" style="939" min="12173" max="12173"/>
    <col width="6" customWidth="1" style="939" min="12174" max="12174"/>
    <col width="6.34" customWidth="1" style="939" min="12175" max="12175"/>
    <col width="8.67" customWidth="1" style="939" min="12176" max="12176"/>
    <col width="3.45" customWidth="1" style="939" min="12177" max="12177"/>
    <col width="3" customWidth="1" style="939" min="12178" max="12178"/>
    <col width="4.33" customWidth="1" style="939" min="12179" max="12179"/>
    <col width="5.56" customWidth="1" style="939" min="12180" max="12180"/>
    <col width="4.67" customWidth="1" style="939" min="12181" max="12181"/>
    <col width="15.45" customWidth="1" style="939" min="12182" max="12182"/>
    <col width="9.109999999999999" customWidth="1" style="939" min="12183" max="12186"/>
    <col width="10.44" customWidth="1" style="939" min="12187" max="12187"/>
    <col width="18" customWidth="1" style="939" min="12188" max="12188"/>
    <col width="9.109999999999999" customWidth="1" style="939" min="12189" max="12419"/>
    <col width="7.33" customWidth="1" style="939" min="12420" max="12420"/>
    <col width="5" customWidth="1" style="939" min="12421" max="12421"/>
    <col width="5.44" customWidth="1" style="939" min="12422" max="12422"/>
    <col width="9.66" customWidth="1" style="939" min="12423" max="12423"/>
    <col width="5.44" customWidth="1" style="939" min="12424" max="12424"/>
    <col width="2" customWidth="1" style="939" min="12425" max="12425"/>
    <col width="7.55" customWidth="1" style="939" min="12426" max="12426"/>
    <col width="8.67" customWidth="1" style="939" min="12427" max="12427"/>
    <col width="4.67" customWidth="1" style="939" min="12428" max="12428"/>
    <col width="8.67" customWidth="1" style="939" min="12429" max="12429"/>
    <col width="6" customWidth="1" style="939" min="12430" max="12430"/>
    <col width="6.34" customWidth="1" style="939" min="12431" max="12431"/>
    <col width="8.67" customWidth="1" style="939" min="12432" max="12432"/>
    <col width="3.45" customWidth="1" style="939" min="12433" max="12433"/>
    <col width="3" customWidth="1" style="939" min="12434" max="12434"/>
    <col width="4.33" customWidth="1" style="939" min="12435" max="12435"/>
    <col width="5.56" customWidth="1" style="939" min="12436" max="12436"/>
    <col width="4.67" customWidth="1" style="939" min="12437" max="12437"/>
    <col width="15.45" customWidth="1" style="939" min="12438" max="12438"/>
    <col width="9.109999999999999" customWidth="1" style="939" min="12439" max="12442"/>
    <col width="10.44" customWidth="1" style="939" min="12443" max="12443"/>
    <col width="18" customWidth="1" style="939" min="12444" max="12444"/>
    <col width="9.109999999999999" customWidth="1" style="939" min="12445" max="12675"/>
    <col width="7.33" customWidth="1" style="939" min="12676" max="12676"/>
    <col width="5" customWidth="1" style="939" min="12677" max="12677"/>
    <col width="5.44" customWidth="1" style="939" min="12678" max="12678"/>
    <col width="9.66" customWidth="1" style="939" min="12679" max="12679"/>
    <col width="5.44" customWidth="1" style="939" min="12680" max="12680"/>
    <col width="2" customWidth="1" style="939" min="12681" max="12681"/>
    <col width="7.55" customWidth="1" style="939" min="12682" max="12682"/>
    <col width="8.67" customWidth="1" style="939" min="12683" max="12683"/>
    <col width="4.67" customWidth="1" style="939" min="12684" max="12684"/>
    <col width="8.67" customWidth="1" style="939" min="12685" max="12685"/>
    <col width="6" customWidth="1" style="939" min="12686" max="12686"/>
    <col width="6.34" customWidth="1" style="939" min="12687" max="12687"/>
    <col width="8.67" customWidth="1" style="939" min="12688" max="12688"/>
    <col width="3.45" customWidth="1" style="939" min="12689" max="12689"/>
    <col width="3" customWidth="1" style="939" min="12690" max="12690"/>
    <col width="4.33" customWidth="1" style="939" min="12691" max="12691"/>
    <col width="5.56" customWidth="1" style="939" min="12692" max="12692"/>
    <col width="4.67" customWidth="1" style="939" min="12693" max="12693"/>
    <col width="15.45" customWidth="1" style="939" min="12694" max="12694"/>
    <col width="9.109999999999999" customWidth="1" style="939" min="12695" max="12698"/>
    <col width="10.44" customWidth="1" style="939" min="12699" max="12699"/>
    <col width="18" customWidth="1" style="939" min="12700" max="12700"/>
    <col width="9.109999999999999" customWidth="1" style="939" min="12701" max="12931"/>
    <col width="7.33" customWidth="1" style="939" min="12932" max="12932"/>
    <col width="5" customWidth="1" style="939" min="12933" max="12933"/>
    <col width="5.44" customWidth="1" style="939" min="12934" max="12934"/>
    <col width="9.66" customWidth="1" style="939" min="12935" max="12935"/>
    <col width="5.44" customWidth="1" style="939" min="12936" max="12936"/>
    <col width="2" customWidth="1" style="939" min="12937" max="12937"/>
    <col width="7.55" customWidth="1" style="939" min="12938" max="12938"/>
    <col width="8.67" customWidth="1" style="939" min="12939" max="12939"/>
    <col width="4.67" customWidth="1" style="939" min="12940" max="12940"/>
    <col width="8.67" customWidth="1" style="939" min="12941" max="12941"/>
    <col width="6" customWidth="1" style="939" min="12942" max="12942"/>
    <col width="6.34" customWidth="1" style="939" min="12943" max="12943"/>
    <col width="8.67" customWidth="1" style="939" min="12944" max="12944"/>
    <col width="3.45" customWidth="1" style="939" min="12945" max="12945"/>
    <col width="3" customWidth="1" style="939" min="12946" max="12946"/>
    <col width="4.33" customWidth="1" style="939" min="12947" max="12947"/>
    <col width="5.56" customWidth="1" style="939" min="12948" max="12948"/>
    <col width="4.67" customWidth="1" style="939" min="12949" max="12949"/>
    <col width="15.45" customWidth="1" style="939" min="12950" max="12950"/>
    <col width="9.109999999999999" customWidth="1" style="939" min="12951" max="12954"/>
    <col width="10.44" customWidth="1" style="939" min="12955" max="12955"/>
    <col width="18" customWidth="1" style="939" min="12956" max="12956"/>
    <col width="9.109999999999999" customWidth="1" style="939" min="12957" max="13187"/>
    <col width="7.33" customWidth="1" style="939" min="13188" max="13188"/>
    <col width="5" customWidth="1" style="939" min="13189" max="13189"/>
    <col width="5.44" customWidth="1" style="939" min="13190" max="13190"/>
    <col width="9.66" customWidth="1" style="939" min="13191" max="13191"/>
    <col width="5.44" customWidth="1" style="939" min="13192" max="13192"/>
    <col width="2" customWidth="1" style="939" min="13193" max="13193"/>
    <col width="7.55" customWidth="1" style="939" min="13194" max="13194"/>
    <col width="8.67" customWidth="1" style="939" min="13195" max="13195"/>
    <col width="4.67" customWidth="1" style="939" min="13196" max="13196"/>
    <col width="8.67" customWidth="1" style="939" min="13197" max="13197"/>
    <col width="6" customWidth="1" style="939" min="13198" max="13198"/>
    <col width="6.34" customWidth="1" style="939" min="13199" max="13199"/>
    <col width="8.67" customWidth="1" style="939" min="13200" max="13200"/>
    <col width="3.45" customWidth="1" style="939" min="13201" max="13201"/>
    <col width="3" customWidth="1" style="939" min="13202" max="13202"/>
    <col width="4.33" customWidth="1" style="939" min="13203" max="13203"/>
    <col width="5.56" customWidth="1" style="939" min="13204" max="13204"/>
    <col width="4.67" customWidth="1" style="939" min="13205" max="13205"/>
    <col width="15.45" customWidth="1" style="939" min="13206" max="13206"/>
    <col width="9.109999999999999" customWidth="1" style="939" min="13207" max="13210"/>
    <col width="10.44" customWidth="1" style="939" min="13211" max="13211"/>
    <col width="18" customWidth="1" style="939" min="13212" max="13212"/>
    <col width="9.109999999999999" customWidth="1" style="939" min="13213" max="13443"/>
    <col width="7.33" customWidth="1" style="939" min="13444" max="13444"/>
    <col width="5" customWidth="1" style="939" min="13445" max="13445"/>
    <col width="5.44" customWidth="1" style="939" min="13446" max="13446"/>
    <col width="9.66" customWidth="1" style="939" min="13447" max="13447"/>
    <col width="5.44" customWidth="1" style="939" min="13448" max="13448"/>
    <col width="2" customWidth="1" style="939" min="13449" max="13449"/>
    <col width="7.55" customWidth="1" style="939" min="13450" max="13450"/>
    <col width="8.67" customWidth="1" style="939" min="13451" max="13451"/>
    <col width="4.67" customWidth="1" style="939" min="13452" max="13452"/>
    <col width="8.67" customWidth="1" style="939" min="13453" max="13453"/>
    <col width="6" customWidth="1" style="939" min="13454" max="13454"/>
    <col width="6.34" customWidth="1" style="939" min="13455" max="13455"/>
    <col width="8.67" customWidth="1" style="939" min="13456" max="13456"/>
    <col width="3.45" customWidth="1" style="939" min="13457" max="13457"/>
    <col width="3" customWidth="1" style="939" min="13458" max="13458"/>
    <col width="4.33" customWidth="1" style="939" min="13459" max="13459"/>
    <col width="5.56" customWidth="1" style="939" min="13460" max="13460"/>
    <col width="4.67" customWidth="1" style="939" min="13461" max="13461"/>
    <col width="15.45" customWidth="1" style="939" min="13462" max="13462"/>
    <col width="9.109999999999999" customWidth="1" style="939" min="13463" max="13466"/>
    <col width="10.44" customWidth="1" style="939" min="13467" max="13467"/>
    <col width="18" customWidth="1" style="939" min="13468" max="13468"/>
    <col width="9.109999999999999" customWidth="1" style="939" min="13469" max="13699"/>
    <col width="7.33" customWidth="1" style="939" min="13700" max="13700"/>
    <col width="5" customWidth="1" style="939" min="13701" max="13701"/>
    <col width="5.44" customWidth="1" style="939" min="13702" max="13702"/>
    <col width="9.66" customWidth="1" style="939" min="13703" max="13703"/>
    <col width="5.44" customWidth="1" style="939" min="13704" max="13704"/>
    <col width="2" customWidth="1" style="939" min="13705" max="13705"/>
    <col width="7.55" customWidth="1" style="939" min="13706" max="13706"/>
    <col width="8.67" customWidth="1" style="939" min="13707" max="13707"/>
    <col width="4.67" customWidth="1" style="939" min="13708" max="13708"/>
    <col width="8.67" customWidth="1" style="939" min="13709" max="13709"/>
    <col width="6" customWidth="1" style="939" min="13710" max="13710"/>
    <col width="6.34" customWidth="1" style="939" min="13711" max="13711"/>
    <col width="8.67" customWidth="1" style="939" min="13712" max="13712"/>
    <col width="3.45" customWidth="1" style="939" min="13713" max="13713"/>
    <col width="3" customWidth="1" style="939" min="13714" max="13714"/>
    <col width="4.33" customWidth="1" style="939" min="13715" max="13715"/>
    <col width="5.56" customWidth="1" style="939" min="13716" max="13716"/>
    <col width="4.67" customWidth="1" style="939" min="13717" max="13717"/>
    <col width="15.45" customWidth="1" style="939" min="13718" max="13718"/>
    <col width="9.109999999999999" customWidth="1" style="939" min="13719" max="13722"/>
    <col width="10.44" customWidth="1" style="939" min="13723" max="13723"/>
    <col width="18" customWidth="1" style="939" min="13724" max="13724"/>
    <col width="9.109999999999999" customWidth="1" style="939" min="13725" max="13955"/>
    <col width="7.33" customWidth="1" style="939" min="13956" max="13956"/>
    <col width="5" customWidth="1" style="939" min="13957" max="13957"/>
    <col width="5.44" customWidth="1" style="939" min="13958" max="13958"/>
    <col width="9.66" customWidth="1" style="939" min="13959" max="13959"/>
    <col width="5.44" customWidth="1" style="939" min="13960" max="13960"/>
    <col width="2" customWidth="1" style="939" min="13961" max="13961"/>
    <col width="7.55" customWidth="1" style="939" min="13962" max="13962"/>
    <col width="8.67" customWidth="1" style="939" min="13963" max="13963"/>
    <col width="4.67" customWidth="1" style="939" min="13964" max="13964"/>
    <col width="8.67" customWidth="1" style="939" min="13965" max="13965"/>
    <col width="6" customWidth="1" style="939" min="13966" max="13966"/>
    <col width="6.34" customWidth="1" style="939" min="13967" max="13967"/>
    <col width="8.67" customWidth="1" style="939" min="13968" max="13968"/>
    <col width="3.45" customWidth="1" style="939" min="13969" max="13969"/>
    <col width="3" customWidth="1" style="939" min="13970" max="13970"/>
    <col width="4.33" customWidth="1" style="939" min="13971" max="13971"/>
    <col width="5.56" customWidth="1" style="939" min="13972" max="13972"/>
    <col width="4.67" customWidth="1" style="939" min="13973" max="13973"/>
    <col width="15.45" customWidth="1" style="939" min="13974" max="13974"/>
    <col width="9.109999999999999" customWidth="1" style="939" min="13975" max="13978"/>
    <col width="10.44" customWidth="1" style="939" min="13979" max="13979"/>
    <col width="18" customWidth="1" style="939" min="13980" max="13980"/>
    <col width="9.109999999999999" customWidth="1" style="939" min="13981" max="14211"/>
    <col width="7.33" customWidth="1" style="939" min="14212" max="14212"/>
    <col width="5" customWidth="1" style="939" min="14213" max="14213"/>
    <col width="5.44" customWidth="1" style="939" min="14214" max="14214"/>
    <col width="9.66" customWidth="1" style="939" min="14215" max="14215"/>
    <col width="5.44" customWidth="1" style="939" min="14216" max="14216"/>
    <col width="2" customWidth="1" style="939" min="14217" max="14217"/>
    <col width="7.55" customWidth="1" style="939" min="14218" max="14218"/>
    <col width="8.67" customWidth="1" style="939" min="14219" max="14219"/>
    <col width="4.67" customWidth="1" style="939" min="14220" max="14220"/>
    <col width="8.67" customWidth="1" style="939" min="14221" max="14221"/>
    <col width="6" customWidth="1" style="939" min="14222" max="14222"/>
    <col width="6.34" customWidth="1" style="939" min="14223" max="14223"/>
    <col width="8.67" customWidth="1" style="939" min="14224" max="14224"/>
    <col width="3.45" customWidth="1" style="939" min="14225" max="14225"/>
    <col width="3" customWidth="1" style="939" min="14226" max="14226"/>
    <col width="4.33" customWidth="1" style="939" min="14227" max="14227"/>
    <col width="5.56" customWidth="1" style="939" min="14228" max="14228"/>
    <col width="4.67" customWidth="1" style="939" min="14229" max="14229"/>
    <col width="15.45" customWidth="1" style="939" min="14230" max="14230"/>
    <col width="9.109999999999999" customWidth="1" style="939" min="14231" max="14234"/>
    <col width="10.44" customWidth="1" style="939" min="14235" max="14235"/>
    <col width="18" customWidth="1" style="939" min="14236" max="14236"/>
    <col width="9.109999999999999" customWidth="1" style="939" min="14237" max="14467"/>
    <col width="7.33" customWidth="1" style="939" min="14468" max="14468"/>
    <col width="5" customWidth="1" style="939" min="14469" max="14469"/>
    <col width="5.44" customWidth="1" style="939" min="14470" max="14470"/>
    <col width="9.66" customWidth="1" style="939" min="14471" max="14471"/>
    <col width="5.44" customWidth="1" style="939" min="14472" max="14472"/>
    <col width="2" customWidth="1" style="939" min="14473" max="14473"/>
    <col width="7.55" customWidth="1" style="939" min="14474" max="14474"/>
    <col width="8.67" customWidth="1" style="939" min="14475" max="14475"/>
    <col width="4.67" customWidth="1" style="939" min="14476" max="14476"/>
    <col width="8.67" customWidth="1" style="939" min="14477" max="14477"/>
    <col width="6" customWidth="1" style="939" min="14478" max="14478"/>
    <col width="6.34" customWidth="1" style="939" min="14479" max="14479"/>
    <col width="8.67" customWidth="1" style="939" min="14480" max="14480"/>
    <col width="3.45" customWidth="1" style="939" min="14481" max="14481"/>
    <col width="3" customWidth="1" style="939" min="14482" max="14482"/>
    <col width="4.33" customWidth="1" style="939" min="14483" max="14483"/>
    <col width="5.56" customWidth="1" style="939" min="14484" max="14484"/>
    <col width="4.67" customWidth="1" style="939" min="14485" max="14485"/>
    <col width="15.45" customWidth="1" style="939" min="14486" max="14486"/>
    <col width="9.109999999999999" customWidth="1" style="939" min="14487" max="14490"/>
    <col width="10.44" customWidth="1" style="939" min="14491" max="14491"/>
    <col width="18" customWidth="1" style="939" min="14492" max="14492"/>
    <col width="9.109999999999999" customWidth="1" style="939" min="14493" max="14723"/>
    <col width="7.33" customWidth="1" style="939" min="14724" max="14724"/>
    <col width="5" customWidth="1" style="939" min="14725" max="14725"/>
    <col width="5.44" customWidth="1" style="939" min="14726" max="14726"/>
    <col width="9.66" customWidth="1" style="939" min="14727" max="14727"/>
    <col width="5.44" customWidth="1" style="939" min="14728" max="14728"/>
    <col width="2" customWidth="1" style="939" min="14729" max="14729"/>
    <col width="7.55" customWidth="1" style="939" min="14730" max="14730"/>
    <col width="8.67" customWidth="1" style="939" min="14731" max="14731"/>
    <col width="4.67" customWidth="1" style="939" min="14732" max="14732"/>
    <col width="8.67" customWidth="1" style="939" min="14733" max="14733"/>
    <col width="6" customWidth="1" style="939" min="14734" max="14734"/>
    <col width="6.34" customWidth="1" style="939" min="14735" max="14735"/>
    <col width="8.67" customWidth="1" style="939" min="14736" max="14736"/>
    <col width="3.45" customWidth="1" style="939" min="14737" max="14737"/>
    <col width="3" customWidth="1" style="939" min="14738" max="14738"/>
    <col width="4.33" customWidth="1" style="939" min="14739" max="14739"/>
    <col width="5.56" customWidth="1" style="939" min="14740" max="14740"/>
    <col width="4.67" customWidth="1" style="939" min="14741" max="14741"/>
    <col width="15.45" customWidth="1" style="939" min="14742" max="14742"/>
    <col width="9.109999999999999" customWidth="1" style="939" min="14743" max="14746"/>
    <col width="10.44" customWidth="1" style="939" min="14747" max="14747"/>
    <col width="18" customWidth="1" style="939" min="14748" max="14748"/>
    <col width="9.109999999999999" customWidth="1" style="939" min="14749" max="14979"/>
    <col width="7.33" customWidth="1" style="939" min="14980" max="14980"/>
    <col width="5" customWidth="1" style="939" min="14981" max="14981"/>
    <col width="5.44" customWidth="1" style="939" min="14982" max="14982"/>
    <col width="9.66" customWidth="1" style="939" min="14983" max="14983"/>
    <col width="5.44" customWidth="1" style="939" min="14984" max="14984"/>
    <col width="2" customWidth="1" style="939" min="14985" max="14985"/>
    <col width="7.55" customWidth="1" style="939" min="14986" max="14986"/>
    <col width="8.67" customWidth="1" style="939" min="14987" max="14987"/>
    <col width="4.67" customWidth="1" style="939" min="14988" max="14988"/>
    <col width="8.67" customWidth="1" style="939" min="14989" max="14989"/>
    <col width="6" customWidth="1" style="939" min="14990" max="14990"/>
    <col width="6.34" customWidth="1" style="939" min="14991" max="14991"/>
    <col width="8.67" customWidth="1" style="939" min="14992" max="14992"/>
    <col width="3.45" customWidth="1" style="939" min="14993" max="14993"/>
    <col width="3" customWidth="1" style="939" min="14994" max="14994"/>
    <col width="4.33" customWidth="1" style="939" min="14995" max="14995"/>
    <col width="5.56" customWidth="1" style="939" min="14996" max="14996"/>
    <col width="4.67" customWidth="1" style="939" min="14997" max="14997"/>
    <col width="15.45" customWidth="1" style="939" min="14998" max="14998"/>
    <col width="9.109999999999999" customWidth="1" style="939" min="14999" max="15002"/>
    <col width="10.44" customWidth="1" style="939" min="15003" max="15003"/>
    <col width="18" customWidth="1" style="939" min="15004" max="15004"/>
    <col width="9.109999999999999" customWidth="1" style="939" min="15005" max="15235"/>
    <col width="7.33" customWidth="1" style="939" min="15236" max="15236"/>
    <col width="5" customWidth="1" style="939" min="15237" max="15237"/>
    <col width="5.44" customWidth="1" style="939" min="15238" max="15238"/>
    <col width="9.66" customWidth="1" style="939" min="15239" max="15239"/>
    <col width="5.44" customWidth="1" style="939" min="15240" max="15240"/>
    <col width="2" customWidth="1" style="939" min="15241" max="15241"/>
    <col width="7.55" customWidth="1" style="939" min="15242" max="15242"/>
    <col width="8.67" customWidth="1" style="939" min="15243" max="15243"/>
    <col width="4.67" customWidth="1" style="939" min="15244" max="15244"/>
    <col width="8.67" customWidth="1" style="939" min="15245" max="15245"/>
    <col width="6" customWidth="1" style="939" min="15246" max="15246"/>
    <col width="6.34" customWidth="1" style="939" min="15247" max="15247"/>
    <col width="8.67" customWidth="1" style="939" min="15248" max="15248"/>
    <col width="3.45" customWidth="1" style="939" min="15249" max="15249"/>
    <col width="3" customWidth="1" style="939" min="15250" max="15250"/>
    <col width="4.33" customWidth="1" style="939" min="15251" max="15251"/>
    <col width="5.56" customWidth="1" style="939" min="15252" max="15252"/>
    <col width="4.67" customWidth="1" style="939" min="15253" max="15253"/>
    <col width="15.45" customWidth="1" style="939" min="15254" max="15254"/>
    <col width="9.109999999999999" customWidth="1" style="939" min="15255" max="15258"/>
    <col width="10.44" customWidth="1" style="939" min="15259" max="15259"/>
    <col width="18" customWidth="1" style="939" min="15260" max="15260"/>
    <col width="9.109999999999999" customWidth="1" style="939" min="15261" max="15491"/>
    <col width="7.33" customWidth="1" style="939" min="15492" max="15492"/>
    <col width="5" customWidth="1" style="939" min="15493" max="15493"/>
    <col width="5.44" customWidth="1" style="939" min="15494" max="15494"/>
    <col width="9.66" customWidth="1" style="939" min="15495" max="15495"/>
    <col width="5.44" customWidth="1" style="939" min="15496" max="15496"/>
    <col width="2" customWidth="1" style="939" min="15497" max="15497"/>
    <col width="7.55" customWidth="1" style="939" min="15498" max="15498"/>
    <col width="8.67" customWidth="1" style="939" min="15499" max="15499"/>
    <col width="4.67" customWidth="1" style="939" min="15500" max="15500"/>
    <col width="8.67" customWidth="1" style="939" min="15501" max="15501"/>
    <col width="6" customWidth="1" style="939" min="15502" max="15502"/>
    <col width="6.34" customWidth="1" style="939" min="15503" max="15503"/>
    <col width="8.67" customWidth="1" style="939" min="15504" max="15504"/>
    <col width="3.45" customWidth="1" style="939" min="15505" max="15505"/>
    <col width="3" customWidth="1" style="939" min="15506" max="15506"/>
    <col width="4.33" customWidth="1" style="939" min="15507" max="15507"/>
    <col width="5.56" customWidth="1" style="939" min="15508" max="15508"/>
    <col width="4.67" customWidth="1" style="939" min="15509" max="15509"/>
    <col width="15.45" customWidth="1" style="939" min="15510" max="15510"/>
    <col width="9.109999999999999" customWidth="1" style="939" min="15511" max="15514"/>
    <col width="10.44" customWidth="1" style="939" min="15515" max="15515"/>
    <col width="18" customWidth="1" style="939" min="15516" max="15516"/>
    <col width="9.109999999999999" customWidth="1" style="939" min="15517" max="15747"/>
    <col width="7.33" customWidth="1" style="939" min="15748" max="15748"/>
    <col width="5" customWidth="1" style="939" min="15749" max="15749"/>
    <col width="5.44" customWidth="1" style="939" min="15750" max="15750"/>
    <col width="9.66" customWidth="1" style="939" min="15751" max="15751"/>
    <col width="5.44" customWidth="1" style="939" min="15752" max="15752"/>
    <col width="2" customWidth="1" style="939" min="15753" max="15753"/>
    <col width="7.55" customWidth="1" style="939" min="15754" max="15754"/>
    <col width="8.67" customWidth="1" style="939" min="15755" max="15755"/>
    <col width="4.67" customWidth="1" style="939" min="15756" max="15756"/>
    <col width="8.67" customWidth="1" style="939" min="15757" max="15757"/>
    <col width="6" customWidth="1" style="939" min="15758" max="15758"/>
    <col width="6.34" customWidth="1" style="939" min="15759" max="15759"/>
    <col width="8.67" customWidth="1" style="939" min="15760" max="15760"/>
    <col width="3.45" customWidth="1" style="939" min="15761" max="15761"/>
    <col width="3" customWidth="1" style="939" min="15762" max="15762"/>
    <col width="4.33" customWidth="1" style="939" min="15763" max="15763"/>
    <col width="5.56" customWidth="1" style="939" min="15764" max="15764"/>
    <col width="4.67" customWidth="1" style="939" min="15765" max="15765"/>
    <col width="15.45" customWidth="1" style="939" min="15766" max="15766"/>
    <col width="9.109999999999999" customWidth="1" style="939" min="15767" max="15770"/>
    <col width="10.44" customWidth="1" style="939" min="15771" max="15771"/>
    <col width="18" customWidth="1" style="939" min="15772" max="15772"/>
    <col width="9.109999999999999" customWidth="1" style="939" min="15773" max="16384"/>
  </cols>
  <sheetData>
    <row r="1" ht="55.5" customFormat="1" customHeight="1" s="940">
      <c r="A1" s="941" t="n"/>
      <c r="B1" s="942" t="n"/>
      <c r="C1" s="870" t="n"/>
      <c r="D1" s="943" t="inlineStr">
        <is>
          <t>Job Sequence of Events</t>
        </is>
      </c>
      <c r="E1" s="942" t="n"/>
      <c r="F1" s="942" t="n"/>
      <c r="G1" s="942" t="n"/>
      <c r="H1" s="942" t="n"/>
      <c r="I1" s="942" t="n"/>
      <c r="J1" s="942" t="n"/>
      <c r="K1" s="942" t="n"/>
      <c r="L1" s="942" t="n"/>
      <c r="M1" s="942" t="n"/>
      <c r="N1" s="942" t="n"/>
      <c r="O1" s="942" t="n"/>
      <c r="P1" s="942" t="n"/>
      <c r="Q1" s="942" t="n"/>
      <c r="R1" s="870" t="n"/>
      <c r="S1" s="944" t="n"/>
    </row>
    <row r="2" ht="21.75" customFormat="1" customHeight="1" s="940">
      <c r="A2" s="945" t="inlineStr">
        <is>
          <t>DOCUMENT NUMBER</t>
        </is>
      </c>
      <c r="B2" s="875" t="n"/>
      <c r="C2" s="872" t="n"/>
      <c r="D2" s="946" t="inlineStr">
        <is>
          <t>CLASSIFICATION</t>
        </is>
      </c>
      <c r="E2" s="872" t="n"/>
      <c r="F2" s="946" t="inlineStr">
        <is>
          <t>DOCUMENT LEVEL</t>
        </is>
      </c>
      <c r="G2" s="875" t="n"/>
      <c r="H2" s="872" t="n"/>
      <c r="I2" s="946" t="inlineStr">
        <is>
          <t>REVISION NUMBER</t>
        </is>
      </c>
      <c r="J2" s="875" t="n"/>
      <c r="K2" s="872" t="n"/>
      <c r="L2" s="946" t="inlineStr">
        <is>
          <t>ISSUE DATE</t>
        </is>
      </c>
      <c r="M2" s="875" t="n"/>
      <c r="N2" s="872" t="n"/>
      <c r="O2" s="946" t="inlineStr">
        <is>
          <t>PREPARED BY</t>
        </is>
      </c>
      <c r="P2" s="875" t="n"/>
      <c r="Q2" s="875" t="n"/>
      <c r="R2" s="872" t="n"/>
      <c r="S2" s="947" t="inlineStr">
        <is>
          <t>APPROVAL</t>
        </is>
      </c>
    </row>
    <row r="3" ht="23.25" customFormat="1" customHeight="1" s="940">
      <c r="A3" s="948" t="inlineStr">
        <is>
          <t>GL-COMP-OEPS-L4-15.07</t>
        </is>
      </c>
      <c r="B3" s="949" t="n"/>
      <c r="C3" s="950" t="n"/>
      <c r="D3" s="951" t="inlineStr">
        <is>
          <t>CONTROLLED</t>
        </is>
      </c>
      <c r="E3" s="952" t="n"/>
      <c r="F3" s="951" t="inlineStr">
        <is>
          <t>L5</t>
        </is>
      </c>
      <c r="G3" s="953" t="n"/>
      <c r="H3" s="952" t="n"/>
      <c r="I3" s="951" t="n">
        <v>1</v>
      </c>
      <c r="J3" s="953" t="n"/>
      <c r="K3" s="952" t="n"/>
      <c r="L3" s="954" t="n">
        <v>43116</v>
      </c>
      <c r="M3" s="953" t="n"/>
      <c r="N3" s="952" t="n"/>
      <c r="O3" s="951" t="inlineStr">
        <is>
          <t>WCT TECHNICAL DOCUMENTATION GROUP</t>
        </is>
      </c>
      <c r="P3" s="953" t="n"/>
      <c r="Q3" s="953" t="n"/>
      <c r="R3" s="952" t="n"/>
      <c r="S3" s="955" t="inlineStr">
        <is>
          <t>WCT TWIC</t>
        </is>
      </c>
    </row>
    <row r="4" ht="12" customFormat="1" customHeight="1" s="940">
      <c r="A4" s="956" t="n"/>
      <c r="B4" s="875" t="n"/>
      <c r="C4" s="875" t="n"/>
      <c r="D4" s="875" t="n"/>
      <c r="E4" s="875" t="n"/>
      <c r="F4" s="875" t="n"/>
      <c r="G4" s="875" t="n"/>
      <c r="H4" s="875" t="n"/>
      <c r="I4" s="875" t="n"/>
      <c r="J4" s="875" t="n"/>
      <c r="K4" s="875" t="n"/>
      <c r="L4" s="875" t="n"/>
      <c r="M4" s="875" t="n"/>
      <c r="N4" s="875" t="n"/>
      <c r="O4" s="875" t="n"/>
      <c r="P4" s="875" t="n"/>
      <c r="Q4" s="875" t="n"/>
      <c r="R4" s="875" t="n"/>
      <c r="S4" s="876" t="n"/>
    </row>
    <row r="5" ht="21" customFormat="1" customHeight="1" s="957">
      <c r="A5" s="958" t="inlineStr">
        <is>
          <t xml:space="preserve">Job No.: </t>
        </is>
      </c>
      <c r="B5" s="897" t="n"/>
      <c r="C5" s="898" t="n"/>
      <c r="D5" s="959">
        <f>'Master Data'!B11</f>
        <v/>
      </c>
      <c r="E5" s="897" t="n"/>
      <c r="F5" s="897" t="n"/>
      <c r="G5" s="898" t="n"/>
      <c r="H5" s="960" t="inlineStr">
        <is>
          <t>Well Name:</t>
        </is>
      </c>
      <c r="I5" s="897" t="n"/>
      <c r="J5" s="898" t="n"/>
      <c r="K5" s="959">
        <f>'Master Data'!$E$10</f>
        <v/>
      </c>
      <c r="L5" s="897" t="n"/>
      <c r="M5" s="898" t="n"/>
      <c r="N5" s="960" t="inlineStr">
        <is>
          <t>Rig:</t>
        </is>
      </c>
      <c r="O5" s="897" t="n"/>
      <c r="P5" s="897" t="n"/>
      <c r="Q5" s="898" t="n"/>
      <c r="R5" s="961">
        <f>'Master Data'!E11</f>
        <v/>
      </c>
      <c r="S5" s="962" t="n"/>
    </row>
    <row r="6" ht="33.75" customFormat="1" customHeight="1" s="940">
      <c r="A6" s="963" t="inlineStr">
        <is>
          <t>Client Ref.:</t>
        </is>
      </c>
      <c r="B6" s="875" t="n"/>
      <c r="C6" s="872" t="n"/>
      <c r="D6" s="964" t="n"/>
      <c r="E6" s="875" t="n"/>
      <c r="F6" s="875" t="n"/>
      <c r="G6" s="872" t="n"/>
      <c r="H6" s="965" t="inlineStr">
        <is>
          <t>Start Date:</t>
        </is>
      </c>
      <c r="I6" s="875" t="n"/>
      <c r="J6" s="872" t="n"/>
      <c r="K6" s="966">
        <f>'Master Data'!E12</f>
        <v/>
      </c>
      <c r="L6" s="875" t="n"/>
      <c r="M6" s="872" t="n"/>
      <c r="N6" s="965" t="inlineStr">
        <is>
          <t>Job Type:</t>
        </is>
      </c>
      <c r="O6" s="875" t="n"/>
      <c r="P6" s="875" t="n"/>
      <c r="Q6" s="872" t="n"/>
      <c r="R6" s="967">
        <f>'Master Data'!E3</f>
        <v/>
      </c>
      <c r="S6" s="876" t="n"/>
    </row>
    <row r="7" ht="21" customFormat="1" customHeight="1" s="940">
      <c r="A7" s="963" t="inlineStr">
        <is>
          <t>Client:</t>
        </is>
      </c>
      <c r="B7" s="875" t="n"/>
      <c r="C7" s="872" t="n"/>
      <c r="D7" s="946">
        <f>'Master Data'!B3</f>
        <v/>
      </c>
      <c r="E7" s="875" t="n"/>
      <c r="F7" s="875" t="n"/>
      <c r="G7" s="872" t="n"/>
      <c r="H7" s="965" t="inlineStr">
        <is>
          <t>End Date:</t>
        </is>
      </c>
      <c r="I7" s="875" t="n"/>
      <c r="J7" s="872" t="n"/>
      <c r="K7" s="968">
        <f>'Master Data'!E15</f>
        <v/>
      </c>
      <c r="L7" s="875" t="n"/>
      <c r="M7" s="872" t="n"/>
      <c r="N7" s="965" t="inlineStr">
        <is>
          <t>WCT Rep:</t>
        </is>
      </c>
      <c r="O7" s="875" t="n"/>
      <c r="P7" s="875" t="n"/>
      <c r="Q7" s="872" t="n"/>
      <c r="R7" s="967">
        <f>'Master Data'!B21</f>
        <v/>
      </c>
      <c r="S7" s="876" t="n"/>
    </row>
    <row r="8" ht="26.25" customFormat="1" customHeight="1" s="940">
      <c r="A8" s="969" t="inlineStr">
        <is>
          <t>Total Time:</t>
        </is>
      </c>
      <c r="B8" s="892" t="n"/>
      <c r="C8" s="888" t="n"/>
      <c r="D8" s="970">
        <f>'Master Data'!E16</f>
        <v/>
      </c>
      <c r="E8" s="971" t="inlineStr">
        <is>
          <t>Work Time:</t>
        </is>
      </c>
      <c r="F8" s="892" t="n"/>
      <c r="G8" s="888" t="n"/>
      <c r="H8" s="972">
        <f>'Master Data'!E17</f>
        <v/>
      </c>
      <c r="I8" s="971" t="inlineStr">
        <is>
          <t>Lost Time:</t>
        </is>
      </c>
      <c r="J8" s="888" t="n"/>
      <c r="K8" s="972">
        <f>'Master Data'!E18</f>
        <v/>
      </c>
      <c r="L8" s="888" t="n"/>
      <c r="M8" s="971" t="inlineStr">
        <is>
          <t>Runs:</t>
        </is>
      </c>
      <c r="N8" s="888" t="n"/>
      <c r="O8" s="972">
        <f>'Master Data'!E19</f>
        <v/>
      </c>
      <c r="P8" s="888" t="n"/>
      <c r="Q8" s="971" t="inlineStr">
        <is>
          <t>Miss Runs:</t>
        </is>
      </c>
      <c r="R8" s="888" t="n"/>
      <c r="S8" s="973">
        <f>'Master Data'!E20</f>
        <v/>
      </c>
    </row>
    <row r="9" ht="12" customFormat="1" customHeight="1" s="940">
      <c r="A9" s="974" t="n"/>
      <c r="S9" s="975" t="n"/>
    </row>
    <row r="10" ht="12" customFormat="1" customHeight="1" s="940">
      <c r="A10" s="976" t="inlineStr">
        <is>
          <t>Date</t>
        </is>
      </c>
      <c r="B10" s="875" t="n"/>
      <c r="C10" s="872" t="n"/>
      <c r="D10" s="977" t="inlineStr">
        <is>
          <t>Time</t>
        </is>
      </c>
      <c r="E10" s="978" t="inlineStr">
        <is>
          <t>Event</t>
        </is>
      </c>
      <c r="F10" s="875" t="n"/>
      <c r="G10" s="875" t="n"/>
      <c r="H10" s="875" t="n"/>
      <c r="I10" s="875" t="n"/>
      <c r="J10" s="875" t="n"/>
      <c r="K10" s="875" t="n"/>
      <c r="L10" s="875" t="n"/>
      <c r="M10" s="875" t="n"/>
      <c r="N10" s="875" t="n"/>
      <c r="O10" s="875" t="n"/>
      <c r="P10" s="875" t="n"/>
      <c r="Q10" s="875" t="n"/>
      <c r="R10" s="875" t="n"/>
      <c r="S10" s="876" t="n"/>
    </row>
    <row r="11" ht="50.25" customHeight="1" s="862">
      <c r="A11" s="979" t="n">
        <v>46203</v>
      </c>
      <c r="B11" s="980" t="n"/>
      <c r="C11" s="981" t="n"/>
      <c r="D11" s="982" t="inlineStr">
        <is>
          <t>9:45</t>
        </is>
      </c>
      <c r="E11" s="983" t="inlineStr">
        <is>
          <t>Closed UMV &amp; Flushed CT reel w/sea water and get return to burner boom.
* Discuss with town the way forward.
* Closed Swab Valve &amp; opened UMV, Monitored well head pressures on Manssori well test.</t>
        </is>
      </c>
      <c r="F11" s="980" t="n"/>
      <c r="G11" s="980" t="n"/>
      <c r="H11" s="980" t="n"/>
      <c r="I11" s="980" t="n"/>
      <c r="J11" s="980" t="n"/>
      <c r="K11" s="980" t="n"/>
      <c r="L11" s="980" t="n"/>
      <c r="M11" s="980" t="n"/>
      <c r="N11" s="980" t="n"/>
      <c r="O11" s="980" t="n"/>
      <c r="P11" s="980" t="n"/>
      <c r="Q11" s="980" t="n"/>
      <c r="R11" s="980" t="n"/>
      <c r="S11" s="984" t="n"/>
    </row>
    <row r="12" ht="50.25" customHeight="1" s="862">
      <c r="A12" s="979" t="n">
        <v>46203</v>
      </c>
      <c r="B12" s="980" t="n"/>
      <c r="C12" s="981" t="n"/>
      <c r="D12" s="982" t="inlineStr">
        <is>
          <t>12:00</t>
        </is>
      </c>
      <c r="E12" s="983" t="inlineStr">
        <is>
          <t>R/D CTU Injector head &amp; L/D Milling BHA, R/D CTU Quad BOP.
* Dismantled scaffolding on rig floor.</t>
        </is>
      </c>
      <c r="F12" s="980" t="n"/>
      <c r="G12" s="980" t="n"/>
      <c r="H12" s="980" t="n"/>
      <c r="I12" s="980" t="n"/>
      <c r="J12" s="980" t="n"/>
      <c r="K12" s="980" t="n"/>
      <c r="L12" s="980" t="n"/>
      <c r="M12" s="980" t="n"/>
      <c r="N12" s="980" t="n"/>
      <c r="O12" s="980" t="n"/>
      <c r="P12" s="980" t="n"/>
      <c r="Q12" s="980" t="n"/>
      <c r="R12" s="980" t="n"/>
      <c r="S12" s="984" t="n"/>
    </row>
    <row r="13" ht="50.25" customHeight="1" s="862">
      <c r="A13" s="979" t="n">
        <v>46203</v>
      </c>
      <c r="B13" s="980" t="n"/>
      <c r="C13" s="981" t="n"/>
      <c r="D13" s="982" t="inlineStr">
        <is>
          <t>12:30</t>
        </is>
      </c>
      <c r="E13" s="983" t="inlineStr">
        <is>
          <t>Held pre-job safety meeting &amp; crew change handover.</t>
        </is>
      </c>
      <c r="F13" s="980" t="n"/>
      <c r="G13" s="980" t="n"/>
      <c r="H13" s="980" t="n"/>
      <c r="I13" s="980" t="n"/>
      <c r="J13" s="980" t="n"/>
      <c r="K13" s="980" t="n"/>
      <c r="L13" s="980" t="n"/>
      <c r="M13" s="980" t="n"/>
      <c r="N13" s="980" t="n"/>
      <c r="O13" s="980" t="n"/>
      <c r="P13" s="980" t="n"/>
      <c r="Q13" s="980" t="n"/>
      <c r="R13" s="980" t="n"/>
      <c r="S13" s="984" t="n"/>
    </row>
    <row r="14" ht="50.25" customHeight="1" s="862">
      <c r="A14" s="979" t="n">
        <v>46203</v>
      </c>
      <c r="B14" s="980" t="n"/>
      <c r="C14" s="981" t="n"/>
      <c r="D14" s="982" t="inlineStr">
        <is>
          <t>16:30</t>
        </is>
      </c>
      <c r="E14" s="983" t="inlineStr">
        <is>
          <t>R/U 4-1/16" 5K Injection head &amp; SLB E/L sheaves. R/U SLB PCE Equipment.
* P/T PCE equipment to 300/3000 psi for 5/10 mins.
* M/U 2.5" RCT/GR/CCL and accomodate same in WL riser.</t>
        </is>
      </c>
      <c r="F14" s="980" t="n"/>
      <c r="G14" s="980" t="n"/>
      <c r="H14" s="980" t="n"/>
      <c r="I14" s="980" t="n"/>
      <c r="J14" s="980" t="n"/>
      <c r="K14" s="980" t="n"/>
      <c r="L14" s="980" t="n"/>
      <c r="M14" s="980" t="n"/>
      <c r="N14" s="980" t="n"/>
      <c r="O14" s="980" t="n"/>
      <c r="P14" s="980" t="n"/>
      <c r="Q14" s="980" t="n"/>
      <c r="R14" s="980" t="n"/>
      <c r="S14" s="984" t="n"/>
    </row>
    <row r="15" ht="50.25" customHeight="1" s="862">
      <c r="A15" s="979" t="n">
        <v>46203</v>
      </c>
      <c r="B15" s="980" t="n"/>
      <c r="C15" s="981" t="n"/>
      <c r="D15" s="982" t="inlineStr">
        <is>
          <t>19:30</t>
        </is>
      </c>
      <c r="E15" s="983" t="inlineStr">
        <is>
          <t>RIH 2.5" RCT Cutte /CCL on E/L to 11,450 ft ( LD)
* Activated tractor @ 11,175 ft.
* Monitored WHTP on Mnsoori well test choke manifold: 0 psi.</t>
        </is>
      </c>
      <c r="F15" s="980" t="n"/>
      <c r="G15" s="980" t="n"/>
      <c r="H15" s="980" t="n"/>
      <c r="I15" s="980" t="n"/>
      <c r="J15" s="980" t="n"/>
      <c r="K15" s="980" t="n"/>
      <c r="L15" s="980" t="n"/>
      <c r="M15" s="980" t="n"/>
      <c r="N15" s="980" t="n"/>
      <c r="O15" s="980" t="n"/>
      <c r="P15" s="980" t="n"/>
      <c r="Q15" s="980" t="n"/>
      <c r="R15" s="980" t="n"/>
      <c r="S15" s="984" t="n"/>
    </row>
    <row r="16" ht="50.25" customHeight="1" s="862">
      <c r="A16" s="979" t="n">
        <v>46203</v>
      </c>
      <c r="B16" s="980" t="n"/>
      <c r="C16" s="981" t="n"/>
      <c r="D16" s="982" t="inlineStr">
        <is>
          <t>21:00</t>
        </is>
      </c>
      <c r="E16" s="983" t="inlineStr">
        <is>
          <t>Correlated depth with GR/CCL tools &amp; cont'd RIH till had obstruction @ 11,488 ft ( LD), lost 200 lbs of cable tension attempted to pass two times with no succes, cut TBG @ 11,460 ft (20from top of first joint below memory gauge assy).
* Confirmed TBG cut as per SLB procedures.</t>
        </is>
      </c>
      <c r="F16" s="980" t="n"/>
      <c r="G16" s="980" t="n"/>
      <c r="H16" s="980" t="n"/>
      <c r="I16" s="980" t="n"/>
      <c r="J16" s="980" t="n"/>
      <c r="K16" s="980" t="n"/>
      <c r="L16" s="980" t="n"/>
      <c r="M16" s="980" t="n"/>
      <c r="N16" s="980" t="n"/>
      <c r="O16" s="980" t="n"/>
      <c r="P16" s="980" t="n"/>
      <c r="Q16" s="980" t="n"/>
      <c r="R16" s="980" t="n"/>
      <c r="S16" s="984" t="n"/>
    </row>
    <row r="17" ht="50.25" customHeight="1" s="862">
      <c r="A17" s="979" t="n">
        <v>46203</v>
      </c>
      <c r="B17" s="980" t="n"/>
      <c r="C17" s="981" t="n"/>
      <c r="D17" s="982" t="inlineStr">
        <is>
          <t>23:00</t>
        </is>
      </c>
      <c r="E17" s="983" t="inlineStr">
        <is>
          <t>POOH 2.5" RCT Cutter /CCL on E/L to surface.
* Confirmed shooting at surface.</t>
        </is>
      </c>
      <c r="F17" s="980" t="n"/>
      <c r="G17" s="980" t="n"/>
      <c r="H17" s="980" t="n"/>
      <c r="I17" s="980" t="n"/>
      <c r="J17" s="980" t="n"/>
      <c r="K17" s="980" t="n"/>
      <c r="L17" s="980" t="n"/>
      <c r="M17" s="980" t="n"/>
      <c r="N17" s="980" t="n"/>
      <c r="O17" s="980" t="n"/>
      <c r="P17" s="980" t="n"/>
      <c r="Q17" s="980" t="n"/>
      <c r="R17" s="980" t="n"/>
      <c r="S17" s="984" t="n"/>
    </row>
    <row r="18" ht="50.25" customHeight="1" s="862">
      <c r="A18" s="979" t="n">
        <v>46204</v>
      </c>
      <c r="B18" s="980" t="n"/>
      <c r="C18" s="981" t="n"/>
      <c r="D18" s="982" t="inlineStr">
        <is>
          <t>0:00</t>
        </is>
      </c>
      <c r="E18" s="983" t="inlineStr">
        <is>
          <t>R/D 4-1/16" 5K Injection head &amp; SLB E/L sheaves &amp; SLB PCE Equipment.</t>
        </is>
      </c>
      <c r="F18" s="980" t="n"/>
      <c r="G18" s="980" t="n"/>
      <c r="H18" s="980" t="n"/>
      <c r="I18" s="980" t="n"/>
      <c r="J18" s="980" t="n"/>
      <c r="K18" s="980" t="n"/>
      <c r="L18" s="980" t="n"/>
      <c r="M18" s="980" t="n"/>
      <c r="N18" s="980" t="n"/>
      <c r="O18" s="980" t="n"/>
      <c r="P18" s="980" t="n"/>
      <c r="Q18" s="980" t="n"/>
      <c r="R18" s="980" t="n"/>
      <c r="S18" s="984" t="n"/>
    </row>
    <row r="19" ht="50.25" customHeight="1" s="862">
      <c r="A19" s="979" t="n">
        <v>46204</v>
      </c>
      <c r="B19" s="980" t="n"/>
      <c r="C19" s="981" t="n"/>
      <c r="D19" s="982" t="inlineStr">
        <is>
          <t>00:00 - 01:00</t>
        </is>
      </c>
      <c r="E19" s="983" t="inlineStr">
        <is>
          <t>Cont. R/D SLB PCE Equipment.</t>
        </is>
      </c>
      <c r="F19" s="980" t="n"/>
      <c r="G19" s="980" t="n"/>
      <c r="H19" s="980" t="n"/>
      <c r="I19" s="980" t="n"/>
      <c r="J19" s="980" t="n"/>
      <c r="K19" s="980" t="n"/>
      <c r="L19" s="980" t="n"/>
      <c r="M19" s="980" t="n"/>
      <c r="N19" s="980" t="n"/>
      <c r="O19" s="980" t="n"/>
      <c r="P19" s="980" t="n"/>
      <c r="Q19" s="980" t="n"/>
      <c r="R19" s="980" t="n"/>
      <c r="S19" s="984" t="n"/>
    </row>
    <row r="20" ht="50.25" customHeight="1" s="862">
      <c r="A20" s="979" t="n">
        <v>46204</v>
      </c>
      <c r="B20" s="980" t="n"/>
      <c r="C20" s="981" t="n"/>
      <c r="D20" s="982" t="inlineStr">
        <is>
          <t>01:00 - 04:30</t>
        </is>
      </c>
      <c r="E20" s="983" t="inlineStr">
        <is>
          <t>RU Al-Ahlia S/L Lubricator, Rig up Slickline 5K PCE.
* P/T S/L riser and injection head for 300/3,000 psi for 5/15 min. Hold, Ok.</t>
        </is>
      </c>
      <c r="F20" s="980" t="n"/>
      <c r="G20" s="980" t="n"/>
      <c r="H20" s="980" t="n"/>
      <c r="I20" s="980" t="n"/>
      <c r="J20" s="980" t="n"/>
      <c r="K20" s="980" t="n"/>
      <c r="L20" s="980" t="n"/>
      <c r="M20" s="980" t="n"/>
      <c r="N20" s="980" t="n"/>
      <c r="O20" s="980" t="n"/>
      <c r="P20" s="980" t="n"/>
      <c r="Q20" s="980" t="n"/>
      <c r="R20" s="980" t="n"/>
      <c r="S20" s="984" t="n"/>
    </row>
    <row r="21" ht="50.25" customHeight="1" s="862">
      <c r="A21" s="979" t="n">
        <v>46204</v>
      </c>
      <c r="B21" s="980" t="n"/>
      <c r="C21" s="981" t="n"/>
      <c r="D21" s="982" t="inlineStr">
        <is>
          <t>04:30 - 06:00</t>
        </is>
      </c>
      <c r="E21" s="983" t="inlineStr">
        <is>
          <t>RIH with 3.7" GC on Al Ahlia S/L to 9,700 ft and POOH... In progress.</t>
        </is>
      </c>
      <c r="F21" s="980" t="n"/>
      <c r="G21" s="980" t="n"/>
      <c r="H21" s="980" t="n"/>
      <c r="I21" s="980" t="n"/>
      <c r="J21" s="980" t="n"/>
      <c r="K21" s="980" t="n"/>
      <c r="L21" s="980" t="n"/>
      <c r="M21" s="980" t="n"/>
      <c r="N21" s="980" t="n"/>
      <c r="O21" s="980" t="n"/>
      <c r="P21" s="980" t="n"/>
      <c r="Q21" s="980" t="n"/>
      <c r="R21" s="980" t="n"/>
      <c r="S21" s="984" t="n"/>
    </row>
    <row r="22" ht="27" customFormat="1" customHeight="1" s="985">
      <c r="A22" s="986" t="inlineStr">
        <is>
          <t xml:space="preserve">CUSTOMER REP. </t>
        </is>
      </c>
      <c r="B22" s="980" t="n"/>
      <c r="C22" s="980" t="n"/>
      <c r="D22" s="981" t="n"/>
      <c r="E22" s="987">
        <f>'Master Data'!B4</f>
        <v/>
      </c>
      <c r="F22" s="980" t="n"/>
      <c r="G22" s="980" t="n"/>
      <c r="H22" s="980" t="n"/>
      <c r="I22" s="980" t="n"/>
      <c r="J22" s="980" t="n"/>
      <c r="K22" s="980" t="n"/>
      <c r="L22" s="984" t="n"/>
      <c r="M22" s="988" t="inlineStr">
        <is>
          <t>OPERATIONS REP. NAME:</t>
        </is>
      </c>
      <c r="S22" s="989">
        <f>'Master Data'!B21</f>
        <v/>
      </c>
      <c r="U22" s="990">
        <f>E60</f>
        <v/>
      </c>
      <c r="V22" s="990" t="n"/>
      <c r="W22" s="990" t="n"/>
      <c r="X22" s="990" t="n"/>
      <c r="Y22" s="990" t="n"/>
      <c r="Z22" s="990" t="n"/>
      <c r="AA22" s="990" t="n"/>
      <c r="AL22" s="991" t="n"/>
    </row>
    <row r="23" ht="27" customHeight="1" s="862">
      <c r="A23" s="987" t="inlineStr">
        <is>
          <t>SIGNATURE:</t>
        </is>
      </c>
      <c r="B23" s="980" t="n"/>
      <c r="C23" s="980" t="n"/>
      <c r="D23" s="980" t="n"/>
      <c r="E23" s="980" t="n"/>
      <c r="F23" s="980" t="n"/>
      <c r="G23" s="980" t="n"/>
      <c r="H23" s="980" t="n"/>
      <c r="I23" s="980" t="n"/>
      <c r="J23" s="980" t="n"/>
      <c r="K23" s="980" t="n"/>
      <c r="L23" s="981" t="n"/>
      <c r="M23" s="992" t="inlineStr">
        <is>
          <t>SIGNATURE:</t>
        </is>
      </c>
      <c r="U23" s="990" t="n"/>
      <c r="V23" s="990" t="n"/>
      <c r="W23" s="990" t="n"/>
      <c r="X23" s="990" t="n"/>
      <c r="Y23" s="990" t="n"/>
      <c r="Z23" s="990" t="n"/>
      <c r="AA23" s="990" t="n"/>
      <c r="AL23" s="991" t="n"/>
    </row>
    <row r="24" ht="15" customHeight="1" s="862">
      <c r="A24" s="993" t="n"/>
      <c r="B24" s="994" t="n"/>
      <c r="C24" s="994" t="n"/>
      <c r="D24" s="995" t="n"/>
      <c r="E24" s="993" t="n"/>
      <c r="F24" s="994" t="n"/>
      <c r="G24" s="994" t="n"/>
      <c r="H24" s="994" t="n"/>
      <c r="I24" s="996" t="n"/>
      <c r="J24" s="997" t="n"/>
      <c r="K24" s="998" t="n"/>
      <c r="P24" s="998" t="n"/>
      <c r="U24" s="990" t="n"/>
    </row>
    <row r="25" ht="13.5" customHeight="1" s="862">
      <c r="A25" s="999" t="n"/>
      <c r="B25" s="1000" t="n"/>
      <c r="C25" s="1000" t="n"/>
      <c r="D25" s="1001" t="n"/>
      <c r="E25" s="1002" t="n"/>
      <c r="F25" s="1000" t="n"/>
      <c r="G25" s="1000" t="n"/>
      <c r="H25" s="1000" t="n"/>
      <c r="I25" s="1003" t="n"/>
    </row>
    <row r="26" ht="12" customHeight="1" s="862">
      <c r="A26" s="993" t="n"/>
      <c r="B26" s="994" t="n"/>
      <c r="C26" s="994" t="n"/>
      <c r="D26" s="994" t="n"/>
      <c r="E26" s="994" t="n"/>
      <c r="F26" s="994" t="n"/>
      <c r="G26" s="994" t="n"/>
      <c r="H26" s="994" t="n"/>
      <c r="I26" s="994" t="n"/>
      <c r="J26" s="994" t="n"/>
      <c r="K26" s="994" t="n"/>
      <c r="L26" s="994" t="n"/>
      <c r="M26" s="994" t="n"/>
      <c r="N26" s="994" t="n"/>
      <c r="O26" s="994" t="n"/>
      <c r="P26" s="994" t="n"/>
      <c r="Q26" s="994" t="n"/>
      <c r="R26" s="994" t="n"/>
      <c r="S26" s="995" t="n"/>
    </row>
    <row r="27" ht="12" customHeight="1" s="862">
      <c r="A27" s="1004" t="n"/>
      <c r="B27" s="1005" t="n"/>
      <c r="C27" s="1005" t="n"/>
      <c r="D27" s="1005" t="n"/>
      <c r="E27" s="1005" t="n"/>
      <c r="F27" s="1005" t="n"/>
      <c r="G27" s="1005" t="n"/>
      <c r="H27" s="1005" t="n"/>
      <c r="I27" s="1005" t="n"/>
      <c r="J27" s="1005" t="n"/>
      <c r="K27" s="1005" t="n"/>
      <c r="L27" s="1005" t="n"/>
      <c r="M27" s="1005" t="n"/>
      <c r="N27" s="1005" t="n"/>
      <c r="O27" s="1005" t="n"/>
      <c r="P27" s="1005" t="n"/>
      <c r="Q27" s="1005" t="n"/>
      <c r="R27" s="1005" t="n"/>
      <c r="S27" s="1006" t="n"/>
    </row>
    <row r="28" ht="12" customHeight="1" s="862">
      <c r="A28" s="1004" t="n"/>
      <c r="B28" s="1005" t="n"/>
      <c r="C28" s="1005" t="n"/>
      <c r="D28" s="1005" t="n"/>
      <c r="E28" s="1005" t="n"/>
      <c r="F28" s="1005" t="n"/>
      <c r="G28" s="1005" t="n"/>
      <c r="H28" s="1005" t="n"/>
      <c r="I28" s="1005" t="n"/>
      <c r="J28" s="1005" t="n"/>
      <c r="K28" s="1005" t="n"/>
      <c r="L28" s="1005" t="n"/>
      <c r="M28" s="1005" t="n"/>
      <c r="N28" s="1005" t="n"/>
      <c r="O28" s="1005" t="n"/>
      <c r="P28" s="1005" t="n"/>
      <c r="Q28" s="1005" t="n"/>
      <c r="R28" s="1005" t="n"/>
      <c r="S28" s="1006" t="n"/>
    </row>
    <row r="29" ht="12" customHeight="1" s="862">
      <c r="A29" s="1004" t="n"/>
      <c r="B29" s="1005" t="n"/>
      <c r="C29" s="1005" t="n"/>
      <c r="D29" s="1005" t="n"/>
      <c r="E29" s="1005" t="n"/>
      <c r="F29" s="1005" t="n"/>
      <c r="G29" s="1005" t="n"/>
      <c r="H29" s="1005" t="n"/>
      <c r="I29" s="1005" t="n"/>
      <c r="J29" s="1005" t="n"/>
      <c r="K29" s="1005" t="n"/>
      <c r="L29" s="1005" t="n"/>
      <c r="M29" s="1005" t="n"/>
      <c r="N29" s="1005" t="n"/>
      <c r="O29" s="1005" t="n"/>
      <c r="P29" s="1005" t="n"/>
      <c r="Q29" s="1005" t="n"/>
      <c r="R29" s="1005" t="n"/>
      <c r="S29" s="1006" t="n"/>
    </row>
    <row r="30" ht="12" customHeight="1" s="862">
      <c r="A30" s="999" t="n"/>
      <c r="B30" s="1000" t="n"/>
      <c r="C30" s="1000" t="n"/>
      <c r="D30" s="1000" t="n"/>
      <c r="E30" s="1000" t="n"/>
      <c r="F30" s="1000" t="n"/>
      <c r="G30" s="1000" t="n"/>
      <c r="H30" s="1000" t="n"/>
      <c r="I30" s="1000" t="n"/>
      <c r="J30" s="1000" t="n"/>
      <c r="K30" s="1000" t="n"/>
      <c r="L30" s="1000" t="n"/>
      <c r="M30" s="1000" t="n"/>
      <c r="N30" s="1000" t="n"/>
      <c r="O30" s="1000" t="n"/>
      <c r="P30" s="1000" t="n"/>
      <c r="Q30" s="1000" t="n"/>
      <c r="R30" s="1000" t="n"/>
      <c r="S30" s="1001" t="n"/>
    </row>
    <row r="31" ht="36" customHeight="1" s="862">
      <c r="A31" s="1007" t="n"/>
      <c r="B31" s="980" t="n"/>
      <c r="C31" s="981" t="n"/>
      <c r="D31" s="1008" t="n"/>
      <c r="E31" s="1009" t="n"/>
      <c r="F31" s="980" t="n"/>
      <c r="G31" s="980" t="n"/>
      <c r="H31" s="980" t="n"/>
      <c r="I31" s="980" t="n"/>
      <c r="J31" s="980" t="n"/>
      <c r="K31" s="980" t="n"/>
      <c r="L31" s="980" t="n"/>
      <c r="M31" s="980" t="n"/>
      <c r="N31" s="980" t="n"/>
      <c r="O31" s="980" t="n"/>
      <c r="P31" s="980" t="n"/>
      <c r="Q31" s="980" t="n"/>
      <c r="R31" s="980" t="n"/>
      <c r="S31" s="984" t="n"/>
    </row>
    <row r="32" ht="93" customHeight="1" s="862">
      <c r="A32" s="1007" t="n"/>
      <c r="B32" s="980" t="n"/>
      <c r="C32" s="981" t="n"/>
      <c r="D32" s="1008" t="n"/>
      <c r="E32" s="1009" t="n"/>
      <c r="F32" s="980" t="n"/>
      <c r="G32" s="980" t="n"/>
      <c r="H32" s="980" t="n"/>
      <c r="I32" s="980" t="n"/>
      <c r="J32" s="980" t="n"/>
      <c r="K32" s="980" t="n"/>
      <c r="L32" s="980" t="n"/>
      <c r="M32" s="980" t="n"/>
      <c r="N32" s="980" t="n"/>
      <c r="O32" s="980" t="n"/>
      <c r="P32" s="980" t="n"/>
      <c r="Q32" s="980" t="n"/>
      <c r="R32" s="980" t="n"/>
      <c r="S32" s="984" t="n"/>
    </row>
    <row r="33" ht="36" customHeight="1" s="862">
      <c r="A33" s="1007" t="n"/>
      <c r="B33" s="980" t="n"/>
      <c r="C33" s="981" t="n"/>
      <c r="D33" s="1008" t="n"/>
      <c r="E33" s="1009" t="n"/>
      <c r="F33" s="980" t="n"/>
      <c r="G33" s="980" t="n"/>
      <c r="H33" s="980" t="n"/>
      <c r="I33" s="980" t="n"/>
      <c r="J33" s="980" t="n"/>
      <c r="K33" s="980" t="n"/>
      <c r="L33" s="980" t="n"/>
      <c r="M33" s="980" t="n"/>
      <c r="N33" s="980" t="n"/>
      <c r="O33" s="980" t="n"/>
      <c r="P33" s="980" t="n"/>
      <c r="Q33" s="980" t="n"/>
      <c r="R33" s="980" t="n"/>
      <c r="S33" s="984" t="n"/>
    </row>
    <row r="34" ht="72" customHeight="1" s="862">
      <c r="A34" s="1007" t="n"/>
      <c r="B34" s="980" t="n"/>
      <c r="C34" s="981" t="n"/>
      <c r="D34" s="1008" t="n"/>
      <c r="E34" s="1009" t="n"/>
      <c r="F34" s="980" t="n"/>
      <c r="G34" s="980" t="n"/>
      <c r="H34" s="980" t="n"/>
      <c r="I34" s="980" t="n"/>
      <c r="J34" s="980" t="n"/>
      <c r="K34" s="980" t="n"/>
      <c r="L34" s="980" t="n"/>
      <c r="M34" s="980" t="n"/>
      <c r="N34" s="980" t="n"/>
      <c r="O34" s="980" t="n"/>
      <c r="P34" s="980" t="n"/>
      <c r="Q34" s="980" t="n"/>
      <c r="R34" s="980" t="n"/>
      <c r="S34" s="984" t="n"/>
    </row>
    <row r="35" ht="31.5" customHeight="1" s="862">
      <c r="A35" s="1007" t="n"/>
      <c r="B35" s="980" t="n"/>
      <c r="C35" s="981" t="n"/>
      <c r="D35" s="1008" t="n"/>
      <c r="E35" s="1009" t="n"/>
      <c r="F35" s="980" t="n"/>
      <c r="G35" s="980" t="n"/>
      <c r="H35" s="980" t="n"/>
      <c r="I35" s="980" t="n"/>
      <c r="J35" s="980" t="n"/>
      <c r="K35" s="980" t="n"/>
      <c r="L35" s="980" t="n"/>
      <c r="M35" s="980" t="n"/>
      <c r="N35" s="980" t="n"/>
      <c r="O35" s="980" t="n"/>
      <c r="P35" s="980" t="n"/>
      <c r="Q35" s="980" t="n"/>
      <c r="R35" s="980" t="n"/>
      <c r="S35" s="984" t="n"/>
    </row>
    <row r="36" ht="59.25" customHeight="1" s="862">
      <c r="A36" s="1007" t="n"/>
      <c r="B36" s="980" t="n"/>
      <c r="C36" s="981" t="n"/>
      <c r="D36" s="1008" t="n"/>
      <c r="E36" s="1009" t="n"/>
      <c r="F36" s="980" t="n"/>
      <c r="G36" s="980" t="n"/>
      <c r="H36" s="980" t="n"/>
      <c r="I36" s="980" t="n"/>
      <c r="J36" s="980" t="n"/>
      <c r="K36" s="980" t="n"/>
      <c r="L36" s="980" t="n"/>
      <c r="M36" s="980" t="n"/>
      <c r="N36" s="980" t="n"/>
      <c r="O36" s="980" t="n"/>
      <c r="P36" s="980" t="n"/>
      <c r="Q36" s="980" t="n"/>
      <c r="R36" s="980" t="n"/>
      <c r="S36" s="984" t="n"/>
    </row>
    <row r="37" ht="59.25" customHeight="1" s="862">
      <c r="A37" s="1007" t="n"/>
      <c r="B37" s="980" t="n"/>
      <c r="C37" s="981" t="n"/>
      <c r="D37" s="1008" t="n"/>
      <c r="E37" s="1009" t="n"/>
      <c r="F37" s="980" t="n"/>
      <c r="G37" s="980" t="n"/>
      <c r="H37" s="980" t="n"/>
      <c r="I37" s="980" t="n"/>
      <c r="J37" s="980" t="n"/>
      <c r="K37" s="980" t="n"/>
      <c r="L37" s="980" t="n"/>
      <c r="M37" s="980" t="n"/>
      <c r="N37" s="980" t="n"/>
      <c r="O37" s="980" t="n"/>
      <c r="P37" s="980" t="n"/>
      <c r="Q37" s="980" t="n"/>
      <c r="R37" s="980" t="n"/>
      <c r="S37" s="984" t="n"/>
    </row>
    <row r="38" ht="30" customHeight="1" s="862">
      <c r="A38" s="1007" t="n"/>
      <c r="B38" s="980" t="n"/>
      <c r="C38" s="981" t="n"/>
      <c r="D38" s="1008" t="n"/>
      <c r="E38" s="1009" t="n"/>
      <c r="F38" s="980" t="n"/>
      <c r="G38" s="980" t="n"/>
      <c r="H38" s="980" t="n"/>
      <c r="I38" s="980" t="n"/>
      <c r="J38" s="980" t="n"/>
      <c r="K38" s="980" t="n"/>
      <c r="L38" s="980" t="n"/>
      <c r="M38" s="980" t="n"/>
      <c r="N38" s="980" t="n"/>
      <c r="O38" s="980" t="n"/>
      <c r="P38" s="980" t="n"/>
      <c r="Q38" s="980" t="n"/>
      <c r="R38" s="980" t="n"/>
      <c r="S38" s="984" t="n"/>
    </row>
    <row r="39" ht="21.75" customHeight="1" s="862">
      <c r="A39" s="1007" t="n"/>
      <c r="B39" s="980" t="n"/>
      <c r="C39" s="981" t="n"/>
      <c r="D39" s="1008" t="n"/>
      <c r="E39" s="1009" t="n"/>
      <c r="F39" s="980" t="n"/>
      <c r="G39" s="980" t="n"/>
      <c r="H39" s="980" t="n"/>
      <c r="I39" s="980" t="n"/>
      <c r="J39" s="980" t="n"/>
      <c r="K39" s="980" t="n"/>
      <c r="L39" s="980" t="n"/>
      <c r="M39" s="980" t="n"/>
      <c r="N39" s="980" t="n"/>
      <c r="O39" s="980" t="n"/>
      <c r="P39" s="980" t="n"/>
      <c r="Q39" s="980" t="n"/>
      <c r="R39" s="980" t="n"/>
      <c r="S39" s="984" t="n"/>
    </row>
    <row r="40" ht="53.25" customHeight="1" s="862">
      <c r="A40" s="1007" t="n"/>
      <c r="B40" s="980" t="n"/>
      <c r="C40" s="981" t="n"/>
      <c r="D40" s="1010" t="n"/>
      <c r="E40" s="1009" t="n"/>
      <c r="F40" s="980" t="n"/>
      <c r="G40" s="980" t="n"/>
      <c r="H40" s="980" t="n"/>
      <c r="I40" s="980" t="n"/>
      <c r="J40" s="980" t="n"/>
      <c r="K40" s="980" t="n"/>
      <c r="L40" s="980" t="n"/>
      <c r="M40" s="980" t="n"/>
      <c r="N40" s="980" t="n"/>
      <c r="O40" s="980" t="n"/>
      <c r="P40" s="980" t="n"/>
      <c r="Q40" s="980" t="n"/>
      <c r="R40" s="980" t="n"/>
      <c r="S40" s="984" t="n"/>
    </row>
    <row r="41" ht="18" customHeight="1" s="862">
      <c r="A41" s="1007" t="n"/>
      <c r="B41" s="980" t="n"/>
      <c r="C41" s="981" t="n"/>
      <c r="D41" s="1011" t="n"/>
      <c r="E41" s="1009" t="n"/>
      <c r="F41" s="980" t="n"/>
      <c r="G41" s="980" t="n"/>
      <c r="H41" s="980" t="n"/>
      <c r="I41" s="980" t="n"/>
      <c r="J41" s="980" t="n"/>
      <c r="K41" s="980" t="n"/>
      <c r="L41" s="980" t="n"/>
      <c r="M41" s="980" t="n"/>
      <c r="N41" s="980" t="n"/>
      <c r="O41" s="980" t="n"/>
      <c r="P41" s="980" t="n"/>
      <c r="Q41" s="980" t="n"/>
      <c r="R41" s="980" t="n"/>
      <c r="S41" s="984" t="n"/>
    </row>
    <row r="42" ht="44.25" customHeight="1" s="862">
      <c r="A42" s="1007" t="n"/>
      <c r="B42" s="980" t="n"/>
      <c r="C42" s="981" t="n"/>
      <c r="D42" s="1008" t="n"/>
      <c r="E42" s="1009" t="n"/>
      <c r="F42" s="980" t="n"/>
      <c r="G42" s="980" t="n"/>
      <c r="H42" s="980" t="n"/>
      <c r="I42" s="980" t="n"/>
      <c r="J42" s="980" t="n"/>
      <c r="K42" s="980" t="n"/>
      <c r="L42" s="980" t="n"/>
      <c r="M42" s="980" t="n"/>
      <c r="N42" s="980" t="n"/>
      <c r="O42" s="980" t="n"/>
      <c r="P42" s="980" t="n"/>
      <c r="Q42" s="980" t="n"/>
      <c r="R42" s="980" t="n"/>
      <c r="S42" s="984" t="n"/>
    </row>
    <row r="43" ht="42" customHeight="1" s="862">
      <c r="A43" s="1007" t="n"/>
      <c r="B43" s="980" t="n"/>
      <c r="C43" s="981" t="n"/>
      <c r="D43" s="1008" t="n"/>
      <c r="E43" s="1009" t="n"/>
      <c r="F43" s="980" t="n"/>
      <c r="G43" s="980" t="n"/>
      <c r="H43" s="980" t="n"/>
      <c r="I43" s="980" t="n"/>
      <c r="J43" s="980" t="n"/>
      <c r="K43" s="980" t="n"/>
      <c r="L43" s="980" t="n"/>
      <c r="M43" s="980" t="n"/>
      <c r="N43" s="980" t="n"/>
      <c r="O43" s="980" t="n"/>
      <c r="P43" s="980" t="n"/>
      <c r="Q43" s="980" t="n"/>
      <c r="R43" s="980" t="n"/>
      <c r="S43" s="984" t="n"/>
    </row>
    <row r="44" ht="33.75" customHeight="1" s="862">
      <c r="A44" s="1007" t="n"/>
      <c r="B44" s="980" t="n"/>
      <c r="C44" s="981" t="n"/>
      <c r="D44" s="1008" t="n"/>
      <c r="E44" s="1009" t="n"/>
      <c r="F44" s="980" t="n"/>
      <c r="G44" s="980" t="n"/>
      <c r="H44" s="980" t="n"/>
      <c r="I44" s="980" t="n"/>
      <c r="J44" s="980" t="n"/>
      <c r="K44" s="980" t="n"/>
      <c r="L44" s="980" t="n"/>
      <c r="M44" s="980" t="n"/>
      <c r="N44" s="980" t="n"/>
      <c r="O44" s="980" t="n"/>
      <c r="P44" s="980" t="n"/>
      <c r="Q44" s="980" t="n"/>
      <c r="R44" s="980" t="n"/>
      <c r="S44" s="984" t="n"/>
    </row>
    <row r="45" ht="31.5" customHeight="1" s="862">
      <c r="A45" s="1007" t="n"/>
      <c r="B45" s="980" t="n"/>
      <c r="C45" s="981" t="n"/>
      <c r="D45" s="1008" t="n"/>
      <c r="E45" s="1009" t="n"/>
      <c r="F45" s="980" t="n"/>
      <c r="G45" s="980" t="n"/>
      <c r="H45" s="980" t="n"/>
      <c r="I45" s="980" t="n"/>
      <c r="J45" s="980" t="n"/>
      <c r="K45" s="980" t="n"/>
      <c r="L45" s="980" t="n"/>
      <c r="M45" s="980" t="n"/>
      <c r="N45" s="980" t="n"/>
      <c r="O45" s="980" t="n"/>
      <c r="P45" s="980" t="n"/>
      <c r="Q45" s="980" t="n"/>
      <c r="R45" s="980" t="n"/>
      <c r="S45" s="984" t="n"/>
    </row>
    <row r="46" ht="53.25" customHeight="1" s="862">
      <c r="A46" s="1007" t="n"/>
      <c r="B46" s="980" t="n"/>
      <c r="C46" s="981" t="n"/>
      <c r="D46" s="1008" t="n"/>
      <c r="E46" s="1009" t="n"/>
      <c r="F46" s="980" t="n"/>
      <c r="G46" s="980" t="n"/>
      <c r="H46" s="980" t="n"/>
      <c r="I46" s="980" t="n"/>
      <c r="J46" s="980" t="n"/>
      <c r="K46" s="980" t="n"/>
      <c r="L46" s="980" t="n"/>
      <c r="M46" s="980" t="n"/>
      <c r="N46" s="980" t="n"/>
      <c r="O46" s="980" t="n"/>
      <c r="P46" s="980" t="n"/>
      <c r="Q46" s="980" t="n"/>
      <c r="R46" s="980" t="n"/>
      <c r="S46" s="984" t="n"/>
    </row>
    <row r="47" ht="48" customHeight="1" s="862">
      <c r="A47" s="1007" t="n"/>
      <c r="B47" s="980" t="n"/>
      <c r="C47" s="981" t="n"/>
      <c r="D47" s="1008" t="n"/>
      <c r="E47" s="1009" t="n"/>
      <c r="F47" s="980" t="n"/>
      <c r="G47" s="980" t="n"/>
      <c r="H47" s="980" t="n"/>
      <c r="I47" s="980" t="n"/>
      <c r="J47" s="980" t="n"/>
      <c r="K47" s="980" t="n"/>
      <c r="L47" s="980" t="n"/>
      <c r="M47" s="980" t="n"/>
      <c r="N47" s="980" t="n"/>
      <c r="O47" s="980" t="n"/>
      <c r="P47" s="980" t="n"/>
      <c r="Q47" s="980" t="n"/>
      <c r="R47" s="980" t="n"/>
      <c r="S47" s="984" t="n"/>
    </row>
    <row r="48" ht="53.25" customHeight="1" s="862">
      <c r="A48" s="1007" t="n"/>
      <c r="B48" s="980" t="n"/>
      <c r="C48" s="981" t="n"/>
      <c r="D48" s="1008" t="n"/>
      <c r="E48" s="1009" t="n"/>
      <c r="F48" s="980" t="n"/>
      <c r="G48" s="980" t="n"/>
      <c r="H48" s="980" t="n"/>
      <c r="I48" s="980" t="n"/>
      <c r="J48" s="980" t="n"/>
      <c r="K48" s="980" t="n"/>
      <c r="L48" s="980" t="n"/>
      <c r="M48" s="980" t="n"/>
      <c r="N48" s="980" t="n"/>
      <c r="O48" s="980" t="n"/>
      <c r="P48" s="980" t="n"/>
      <c r="Q48" s="980" t="n"/>
      <c r="R48" s="980" t="n"/>
      <c r="S48" s="984" t="n"/>
    </row>
    <row r="49" ht="42" customHeight="1" s="862">
      <c r="A49" s="1007" t="n"/>
      <c r="B49" s="980" t="n"/>
      <c r="C49" s="981" t="n"/>
      <c r="D49" s="1008" t="n"/>
      <c r="E49" s="1009" t="n"/>
      <c r="F49" s="980" t="n"/>
      <c r="G49" s="980" t="n"/>
      <c r="H49" s="980" t="n"/>
      <c r="I49" s="980" t="n"/>
      <c r="J49" s="980" t="n"/>
      <c r="K49" s="980" t="n"/>
      <c r="L49" s="980" t="n"/>
      <c r="M49" s="980" t="n"/>
      <c r="N49" s="980" t="n"/>
      <c r="O49" s="980" t="n"/>
      <c r="P49" s="980" t="n"/>
      <c r="Q49" s="980" t="n"/>
      <c r="R49" s="980" t="n"/>
      <c r="S49" s="984" t="n"/>
    </row>
    <row r="50" ht="40.5" customHeight="1" s="862">
      <c r="A50" s="1007" t="n"/>
      <c r="B50" s="980" t="n"/>
      <c r="C50" s="981" t="n"/>
      <c r="D50" s="1008" t="n"/>
      <c r="E50" s="1009" t="n"/>
      <c r="F50" s="980" t="n"/>
      <c r="G50" s="980" t="n"/>
      <c r="H50" s="980" t="n"/>
      <c r="I50" s="980" t="n"/>
      <c r="J50" s="980" t="n"/>
      <c r="K50" s="980" t="n"/>
      <c r="L50" s="980" t="n"/>
      <c r="M50" s="980" t="n"/>
      <c r="N50" s="980" t="n"/>
      <c r="O50" s="980" t="n"/>
      <c r="P50" s="980" t="n"/>
      <c r="Q50" s="980" t="n"/>
      <c r="R50" s="980" t="n"/>
      <c r="S50" s="984" t="n"/>
    </row>
    <row r="51" ht="54" customHeight="1" s="862">
      <c r="A51" s="1007" t="n"/>
      <c r="B51" s="980" t="n"/>
      <c r="C51" s="981" t="n"/>
      <c r="D51" s="1008" t="n"/>
      <c r="E51" s="1009" t="n"/>
      <c r="F51" s="980" t="n"/>
      <c r="G51" s="980" t="n"/>
      <c r="H51" s="980" t="n"/>
      <c r="I51" s="980" t="n"/>
      <c r="J51" s="980" t="n"/>
      <c r="K51" s="980" t="n"/>
      <c r="L51" s="980" t="n"/>
      <c r="M51" s="980" t="n"/>
      <c r="N51" s="980" t="n"/>
      <c r="O51" s="980" t="n"/>
      <c r="P51" s="980" t="n"/>
      <c r="Q51" s="980" t="n"/>
      <c r="R51" s="980" t="n"/>
      <c r="S51" s="984" t="n"/>
    </row>
    <row r="52" ht="27" customHeight="1" s="862">
      <c r="A52" s="1007" t="n"/>
      <c r="B52" s="980" t="n"/>
      <c r="C52" s="981" t="n"/>
      <c r="D52" s="1008" t="n"/>
      <c r="E52" s="1009" t="n"/>
      <c r="F52" s="980" t="n"/>
      <c r="G52" s="980" t="n"/>
      <c r="H52" s="980" t="n"/>
      <c r="I52" s="980" t="n"/>
      <c r="J52" s="980" t="n"/>
      <c r="K52" s="980" t="n"/>
      <c r="L52" s="980" t="n"/>
      <c r="M52" s="980" t="n"/>
      <c r="N52" s="980" t="n"/>
      <c r="O52" s="980" t="n"/>
      <c r="P52" s="980" t="n"/>
      <c r="Q52" s="980" t="n"/>
      <c r="R52" s="980" t="n"/>
      <c r="S52" s="984" t="n"/>
    </row>
    <row r="53" ht="39" customHeight="1" s="862">
      <c r="A53" s="1007" t="n"/>
      <c r="B53" s="980" t="n"/>
      <c r="C53" s="981" t="n"/>
      <c r="D53" s="1008" t="n"/>
      <c r="E53" s="1009" t="n"/>
      <c r="F53" s="980" t="n"/>
      <c r="G53" s="980" t="n"/>
      <c r="H53" s="980" t="n"/>
      <c r="I53" s="980" t="n"/>
      <c r="J53" s="980" t="n"/>
      <c r="K53" s="980" t="n"/>
      <c r="L53" s="980" t="n"/>
      <c r="M53" s="980" t="n"/>
      <c r="N53" s="980" t="n"/>
      <c r="O53" s="980" t="n"/>
      <c r="P53" s="980" t="n"/>
      <c r="Q53" s="980" t="n"/>
      <c r="R53" s="980" t="n"/>
      <c r="S53" s="984" t="n"/>
    </row>
    <row r="54" ht="36" customHeight="1" s="862">
      <c r="A54" s="1007" t="n"/>
      <c r="B54" s="980" t="n"/>
      <c r="C54" s="981" t="n"/>
      <c r="D54" s="1008" t="n"/>
      <c r="E54" s="1009" t="n"/>
      <c r="F54" s="980" t="n"/>
      <c r="G54" s="980" t="n"/>
      <c r="H54" s="980" t="n"/>
      <c r="I54" s="980" t="n"/>
      <c r="J54" s="980" t="n"/>
      <c r="K54" s="980" t="n"/>
      <c r="L54" s="980" t="n"/>
      <c r="M54" s="980" t="n"/>
      <c r="N54" s="980" t="n"/>
      <c r="O54" s="980" t="n"/>
      <c r="P54" s="980" t="n"/>
      <c r="Q54" s="980" t="n"/>
      <c r="R54" s="980" t="n"/>
      <c r="S54" s="984" t="n"/>
    </row>
    <row r="55" ht="28.5" customHeight="1" s="862">
      <c r="A55" s="1007" t="n"/>
      <c r="B55" s="980" t="n"/>
      <c r="C55" s="981" t="n"/>
      <c r="D55" s="1008" t="n"/>
      <c r="E55" s="1009" t="n"/>
      <c r="F55" s="980" t="n"/>
      <c r="G55" s="980" t="n"/>
      <c r="H55" s="980" t="n"/>
      <c r="I55" s="980" t="n"/>
      <c r="J55" s="980" t="n"/>
      <c r="K55" s="980" t="n"/>
      <c r="L55" s="980" t="n"/>
      <c r="M55" s="980" t="n"/>
      <c r="N55" s="980" t="n"/>
      <c r="O55" s="980" t="n"/>
      <c r="P55" s="980" t="n"/>
      <c r="Q55" s="980" t="n"/>
      <c r="R55" s="980" t="n"/>
      <c r="S55" s="984" t="n"/>
    </row>
    <row r="56" ht="30" customHeight="1" s="862">
      <c r="A56" s="1007" t="n"/>
      <c r="B56" s="980" t="n"/>
      <c r="C56" s="981" t="n"/>
      <c r="D56" s="1008" t="n"/>
      <c r="E56" s="1009" t="n"/>
      <c r="F56" s="980" t="n"/>
      <c r="G56" s="980" t="n"/>
      <c r="H56" s="980" t="n"/>
      <c r="I56" s="980" t="n"/>
      <c r="J56" s="980" t="n"/>
      <c r="K56" s="980" t="n"/>
      <c r="L56" s="980" t="n"/>
      <c r="M56" s="980" t="n"/>
      <c r="N56" s="980" t="n"/>
      <c r="O56" s="980" t="n"/>
      <c r="P56" s="980" t="n"/>
      <c r="Q56" s="980" t="n"/>
      <c r="R56" s="980" t="n"/>
      <c r="S56" s="984" t="n"/>
    </row>
    <row r="57" ht="31.5" customHeight="1" s="862">
      <c r="A57" s="1007" t="n"/>
      <c r="B57" s="980" t="n"/>
      <c r="C57" s="981" t="n"/>
      <c r="D57" s="1008" t="n"/>
      <c r="E57" s="1009" t="n"/>
      <c r="F57" s="980" t="n"/>
      <c r="G57" s="980" t="n"/>
      <c r="H57" s="980" t="n"/>
      <c r="I57" s="980" t="n"/>
      <c r="J57" s="980" t="n"/>
      <c r="K57" s="980" t="n"/>
      <c r="L57" s="980" t="n"/>
      <c r="M57" s="980" t="n"/>
      <c r="N57" s="980" t="n"/>
      <c r="O57" s="980" t="n"/>
      <c r="P57" s="980" t="n"/>
      <c r="Q57" s="980" t="n"/>
      <c r="R57" s="980" t="n"/>
      <c r="S57" s="984" t="n"/>
    </row>
    <row r="58" ht="24" customHeight="1" s="862">
      <c r="A58" s="1007" t="n"/>
      <c r="B58" s="980" t="n"/>
      <c r="C58" s="981" t="n"/>
      <c r="D58" s="1008" t="n"/>
      <c r="E58" s="1009" t="n"/>
      <c r="F58" s="980" t="n"/>
      <c r="G58" s="980" t="n"/>
      <c r="H58" s="980" t="n"/>
      <c r="I58" s="980" t="n"/>
      <c r="J58" s="980" t="n"/>
      <c r="K58" s="980" t="n"/>
      <c r="L58" s="980" t="n"/>
      <c r="M58" s="980" t="n"/>
      <c r="N58" s="980" t="n"/>
      <c r="O58" s="980" t="n"/>
      <c r="P58" s="980" t="n"/>
      <c r="Q58" s="980" t="n"/>
      <c r="R58" s="980" t="n"/>
      <c r="S58" s="984" t="n"/>
    </row>
    <row r="59" ht="50.25" customHeight="1" s="862">
      <c r="A59" s="1012" t="n"/>
      <c r="B59" s="875" t="n"/>
      <c r="C59" s="876" t="n"/>
      <c r="D59" s="1013" t="n"/>
      <c r="E59" s="1014" t="n"/>
      <c r="F59" s="875" t="n"/>
      <c r="G59" s="875" t="n"/>
      <c r="H59" s="875" t="n"/>
      <c r="I59" s="875" t="n"/>
      <c r="J59" s="875" t="n"/>
      <c r="K59" s="875" t="n"/>
      <c r="L59" s="875" t="n"/>
      <c r="M59" s="875" t="n"/>
      <c r="N59" s="875" t="n"/>
      <c r="O59" s="875" t="n"/>
      <c r="P59" s="875" t="n"/>
      <c r="Q59" s="875" t="n"/>
      <c r="R59" s="875" t="n"/>
      <c r="S59" s="875" t="n"/>
      <c r="T59" s="1015" t="n"/>
      <c r="U59" s="1015" t="n"/>
      <c r="V59" s="1015" t="n"/>
      <c r="W59" s="1015" t="n"/>
      <c r="X59" s="1015" t="n"/>
      <c r="Y59" s="1015" t="n"/>
      <c r="Z59" s="1015" t="n"/>
      <c r="AA59" s="1015" t="n"/>
      <c r="AB59" s="1015" t="n"/>
      <c r="AC59" s="1015" t="n"/>
      <c r="AD59" s="1015" t="n"/>
      <c r="AE59" s="1015" t="n"/>
      <c r="AF59" s="1015" t="n"/>
      <c r="AG59" s="1015" t="n"/>
      <c r="AH59" s="1015" t="n"/>
      <c r="AI59" s="1015" t="n"/>
      <c r="AJ59" s="1015" t="n"/>
      <c r="AK59" s="1015" t="n"/>
      <c r="AL59" s="1016" t="n"/>
    </row>
    <row r="60" ht="50.25" customHeight="1" s="862">
      <c r="A60" s="1017" t="n"/>
      <c r="B60" s="875" t="n"/>
      <c r="C60" s="875" t="n"/>
      <c r="D60" s="1013" t="n"/>
      <c r="E60" s="1014" t="n"/>
      <c r="F60" s="875" t="n"/>
      <c r="G60" s="875" t="n"/>
      <c r="H60" s="875" t="n"/>
      <c r="I60" s="875" t="n"/>
      <c r="J60" s="875" t="n"/>
      <c r="K60" s="875" t="n"/>
      <c r="L60" s="875" t="n"/>
      <c r="M60" s="875" t="n"/>
      <c r="N60" s="875" t="n"/>
      <c r="O60" s="875" t="n"/>
      <c r="P60" s="875" t="n"/>
      <c r="Q60" s="875" t="n"/>
      <c r="R60" s="875" t="n"/>
      <c r="S60" s="875" t="n"/>
      <c r="AE60" s="939" t="n"/>
      <c r="AF60" s="1005" t="n"/>
      <c r="AG60" s="1005" t="n"/>
      <c r="AH60" s="1005" t="n"/>
      <c r="AI60" s="1005" t="n"/>
      <c r="AJ60" s="1005" t="n"/>
      <c r="AK60" s="1005" t="n"/>
    </row>
    <row r="61" ht="50.25" customHeight="1" s="862">
      <c r="A61" s="1017" t="n"/>
      <c r="B61" s="875" t="n"/>
      <c r="C61" s="875" t="n"/>
      <c r="D61" s="1013" t="n"/>
      <c r="E61" s="1014" t="n"/>
      <c r="F61" s="875" t="n"/>
      <c r="G61" s="875" t="n"/>
      <c r="H61" s="875" t="n"/>
      <c r="I61" s="875" t="n"/>
      <c r="J61" s="875" t="n"/>
      <c r="K61" s="875" t="n"/>
      <c r="L61" s="875" t="n"/>
      <c r="M61" s="875" t="n"/>
      <c r="N61" s="875" t="n"/>
      <c r="O61" s="875" t="n"/>
      <c r="P61" s="875" t="n"/>
      <c r="Q61" s="875" t="n"/>
      <c r="R61" s="875" t="n"/>
      <c r="S61" s="875" t="n"/>
      <c r="AE61" s="1005" t="n"/>
      <c r="AF61" s="1005" t="n"/>
      <c r="AG61" s="1005" t="n"/>
      <c r="AH61" s="1005" t="n"/>
      <c r="AI61" s="1005" t="n"/>
      <c r="AJ61" s="1005" t="n"/>
      <c r="AK61" s="1005" t="n"/>
    </row>
    <row r="62" ht="50.25" customHeight="1" s="862">
      <c r="A62" s="1017" t="n"/>
      <c r="B62" s="875" t="n"/>
      <c r="C62" s="875" t="n"/>
      <c r="D62" s="1013" t="n"/>
      <c r="E62" s="1014" t="n"/>
      <c r="F62" s="875" t="n"/>
      <c r="G62" s="875" t="n"/>
      <c r="H62" s="875" t="n"/>
      <c r="I62" s="875" t="n"/>
      <c r="J62" s="875" t="n"/>
      <c r="K62" s="875" t="n"/>
      <c r="L62" s="875" t="n"/>
      <c r="M62" s="875" t="n"/>
      <c r="N62" s="875" t="n"/>
      <c r="O62" s="875" t="n"/>
      <c r="P62" s="875" t="n"/>
      <c r="Q62" s="875" t="n"/>
      <c r="R62" s="875" t="n"/>
      <c r="S62" s="875" t="n"/>
    </row>
    <row r="63" ht="50.25" customHeight="1" s="862">
      <c r="A63" s="1017" t="n"/>
      <c r="B63" s="875" t="n"/>
      <c r="C63" s="875" t="n"/>
      <c r="D63" s="1013" t="n"/>
      <c r="E63" s="1014" t="n"/>
      <c r="F63" s="875" t="n"/>
      <c r="G63" s="875" t="n"/>
      <c r="H63" s="875" t="n"/>
      <c r="I63" s="875" t="n"/>
      <c r="J63" s="875" t="n"/>
      <c r="K63" s="875" t="n"/>
      <c r="L63" s="875" t="n"/>
      <c r="M63" s="875" t="n"/>
      <c r="N63" s="875" t="n"/>
      <c r="O63" s="875" t="n"/>
      <c r="P63" s="875" t="n"/>
      <c r="Q63" s="875" t="n"/>
      <c r="R63" s="875" t="n"/>
      <c r="S63" s="875" t="n"/>
    </row>
    <row r="64" ht="50.25" customHeight="1" s="862">
      <c r="A64" s="1017" t="n"/>
      <c r="B64" s="875" t="n"/>
      <c r="C64" s="875" t="n"/>
      <c r="D64" s="1013" t="n"/>
      <c r="E64" s="1014" t="n"/>
      <c r="F64" s="875" t="n"/>
      <c r="G64" s="875" t="n"/>
      <c r="H64" s="875" t="n"/>
      <c r="I64" s="875" t="n"/>
      <c r="J64" s="875" t="n"/>
      <c r="K64" s="875" t="n"/>
      <c r="L64" s="875" t="n"/>
      <c r="M64" s="875" t="n"/>
      <c r="N64" s="875" t="n"/>
      <c r="O64" s="875" t="n"/>
      <c r="P64" s="875" t="n"/>
      <c r="Q64" s="875" t="n"/>
      <c r="R64" s="875" t="n"/>
      <c r="S64" s="875" t="n"/>
    </row>
    <row r="65" ht="50.25" customHeight="1" s="862">
      <c r="A65" s="1017" t="n"/>
      <c r="B65" s="875" t="n"/>
      <c r="C65" s="875" t="n"/>
      <c r="D65" s="1013" t="n"/>
      <c r="E65" s="1014" t="n"/>
      <c r="F65" s="875" t="n"/>
      <c r="G65" s="875" t="n"/>
      <c r="H65" s="875" t="n"/>
      <c r="I65" s="875" t="n"/>
      <c r="J65" s="875" t="n"/>
      <c r="K65" s="875" t="n"/>
      <c r="L65" s="875" t="n"/>
      <c r="M65" s="875" t="n"/>
      <c r="N65" s="875" t="n"/>
      <c r="O65" s="875" t="n"/>
      <c r="P65" s="875" t="n"/>
      <c r="Q65" s="875" t="n"/>
      <c r="R65" s="875" t="n"/>
      <c r="S65" s="875" t="n"/>
    </row>
    <row r="66" ht="50.25" customHeight="1" s="862">
      <c r="A66" s="1017" t="n"/>
      <c r="B66" s="875" t="n"/>
      <c r="C66" s="875" t="n"/>
      <c r="D66" s="1013" t="n"/>
      <c r="E66" s="1014" t="n"/>
      <c r="F66" s="875" t="n"/>
      <c r="G66" s="875" t="n"/>
      <c r="H66" s="875" t="n"/>
      <c r="I66" s="875" t="n"/>
      <c r="J66" s="875" t="n"/>
      <c r="K66" s="875" t="n"/>
      <c r="L66" s="875" t="n"/>
      <c r="M66" s="875" t="n"/>
      <c r="N66" s="875" t="n"/>
      <c r="O66" s="875" t="n"/>
      <c r="P66" s="875" t="n"/>
      <c r="Q66" s="875" t="n"/>
      <c r="R66" s="875" t="n"/>
      <c r="S66" s="875" t="n"/>
    </row>
    <row r="67" ht="50.25" customHeight="1" s="862">
      <c r="A67" s="1017" t="n"/>
      <c r="B67" s="875" t="n"/>
      <c r="C67" s="875" t="n"/>
      <c r="D67" s="1013" t="n"/>
      <c r="E67" s="1014" t="n"/>
      <c r="F67" s="875" t="n"/>
      <c r="G67" s="875" t="n"/>
      <c r="H67" s="875" t="n"/>
      <c r="I67" s="875" t="n"/>
      <c r="J67" s="875" t="n"/>
      <c r="K67" s="875" t="n"/>
      <c r="L67" s="875" t="n"/>
      <c r="M67" s="875" t="n"/>
      <c r="N67" s="875" t="n"/>
      <c r="O67" s="875" t="n"/>
      <c r="P67" s="875" t="n"/>
      <c r="Q67" s="875" t="n"/>
      <c r="R67" s="875" t="n"/>
      <c r="S67" s="875" t="n"/>
    </row>
    <row r="68" ht="50.25" customHeight="1" s="862">
      <c r="A68" s="1017" t="n"/>
      <c r="B68" s="875" t="n"/>
      <c r="C68" s="875" t="n"/>
      <c r="D68" s="1013" t="n"/>
      <c r="E68" s="1014" t="n"/>
      <c r="F68" s="875" t="n"/>
      <c r="G68" s="875" t="n"/>
      <c r="H68" s="875" t="n"/>
      <c r="I68" s="875" t="n"/>
      <c r="J68" s="875" t="n"/>
      <c r="K68" s="875" t="n"/>
      <c r="L68" s="875" t="n"/>
      <c r="M68" s="875" t="n"/>
      <c r="N68" s="875" t="n"/>
      <c r="O68" s="875" t="n"/>
      <c r="P68" s="875" t="n"/>
      <c r="Q68" s="875" t="n"/>
      <c r="R68" s="875" t="n"/>
      <c r="S68" s="875" t="n"/>
    </row>
    <row r="69" ht="50.25" customHeight="1" s="862">
      <c r="A69" s="1017" t="n"/>
      <c r="B69" s="875" t="n"/>
      <c r="C69" s="875" t="n"/>
      <c r="D69" s="1013" t="n"/>
      <c r="E69" s="1014" t="n"/>
      <c r="F69" s="875" t="n"/>
      <c r="G69" s="875" t="n"/>
      <c r="H69" s="875" t="n"/>
      <c r="I69" s="875" t="n"/>
      <c r="J69" s="875" t="n"/>
      <c r="K69" s="875" t="n"/>
      <c r="L69" s="875" t="n"/>
      <c r="M69" s="875" t="n"/>
      <c r="N69" s="875" t="n"/>
      <c r="O69" s="875" t="n"/>
      <c r="P69" s="875" t="n"/>
      <c r="Q69" s="875" t="n"/>
      <c r="R69" s="875" t="n"/>
      <c r="S69" s="875" t="n"/>
    </row>
    <row r="70" ht="27" customHeight="1" s="862">
      <c r="A70" s="1018" t="n"/>
      <c r="E70" s="1019" t="n"/>
      <c r="M70" s="1018" t="n"/>
      <c r="S70" s="1020" t="n"/>
      <c r="U70" s="1021" t="n"/>
      <c r="V70" s="1021" t="n"/>
      <c r="W70" s="1021" t="n"/>
      <c r="X70" s="1021" t="n"/>
      <c r="Y70" s="1021" t="n"/>
      <c r="Z70" s="1021" t="n"/>
      <c r="AA70" s="1021" t="n"/>
      <c r="AE70" s="911" t="n"/>
      <c r="AL70" s="1022" t="n"/>
    </row>
    <row r="71" ht="27" customHeight="1" s="862">
      <c r="A71" s="1019" t="n"/>
      <c r="M71" s="1023" t="n"/>
      <c r="U71" s="1021" t="n"/>
      <c r="V71" s="1021" t="n"/>
      <c r="W71" s="1021" t="n"/>
      <c r="X71" s="1021" t="n"/>
      <c r="Y71" s="1021" t="n"/>
      <c r="Z71" s="1021" t="n"/>
      <c r="AA71" s="1021" t="n"/>
      <c r="AL71" s="1022" t="n"/>
    </row>
    <row r="72" ht="15" customHeight="1" s="862">
      <c r="A72" s="1024" t="n"/>
      <c r="E72" s="1024" t="n"/>
      <c r="J72" s="1025" t="n"/>
      <c r="K72" s="1024" t="n"/>
      <c r="P72" s="1024" t="n"/>
      <c r="U72" s="1021" t="n"/>
    </row>
    <row r="73" ht="13.5" customHeight="1" s="862"/>
    <row r="74" ht="12" customHeight="1" s="862">
      <c r="A74" s="1024" t="n"/>
    </row>
    <row r="75" ht="12" customHeight="1" s="862"/>
    <row r="76" ht="12" customHeight="1" s="862"/>
    <row r="77" ht="12" customHeight="1" s="862"/>
    <row r="78" ht="12" customHeight="1" s="862"/>
    <row r="79" ht="12" customHeight="1" s="862">
      <c r="A79" s="1026" t="n"/>
      <c r="B79" s="1026" t="n"/>
      <c r="C79" s="1026" t="n"/>
      <c r="D79" s="1026" t="n"/>
      <c r="E79" s="1026" t="n"/>
      <c r="F79" s="1026" t="n"/>
      <c r="G79" s="1026" t="n"/>
      <c r="H79" s="1026" t="n"/>
      <c r="I79" s="1026" t="n"/>
      <c r="J79" s="1026" t="n"/>
      <c r="K79" s="1026" t="n"/>
      <c r="L79" s="1026" t="n"/>
      <c r="M79" s="1026" t="n"/>
      <c r="N79" s="1026" t="n"/>
      <c r="O79" s="1026" t="n"/>
      <c r="P79" s="1026" t="n"/>
      <c r="Q79" s="1026" t="n"/>
      <c r="R79" s="1026" t="n"/>
      <c r="S79" s="1026" t="n"/>
    </row>
    <row r="80" ht="12" customHeight="1" s="862">
      <c r="A80" s="1026" t="n"/>
      <c r="B80" s="1026" t="n"/>
      <c r="C80" s="1026" t="n"/>
      <c r="D80" s="1026" t="n"/>
      <c r="E80" s="1026" t="n"/>
      <c r="F80" s="1026" t="n"/>
      <c r="G80" s="1026" t="n"/>
      <c r="H80" s="1026" t="n"/>
      <c r="I80" s="1026" t="n"/>
      <c r="J80" s="1026" t="n"/>
      <c r="K80" s="1026" t="n"/>
      <c r="L80" s="1026" t="n"/>
      <c r="M80" s="1026" t="n"/>
      <c r="N80" s="1026" t="n"/>
      <c r="O80" s="1026" t="n"/>
      <c r="P80" s="1026" t="n"/>
      <c r="Q80" s="1026" t="n"/>
      <c r="R80" s="1026" t="n"/>
      <c r="S80" s="1026" t="n"/>
    </row>
    <row r="81" ht="12" customHeight="1" s="862">
      <c r="A81" s="1026" t="n"/>
      <c r="B81" s="1026" t="n"/>
      <c r="C81" s="1026" t="n"/>
      <c r="D81" s="1026" t="n"/>
      <c r="E81" s="1026" t="n"/>
      <c r="F81" s="1026" t="n"/>
      <c r="G81" s="1026" t="n"/>
      <c r="H81" s="1026" t="n"/>
      <c r="I81" s="1026" t="n"/>
      <c r="J81" s="1026" t="n"/>
      <c r="K81" s="1026" t="n"/>
      <c r="L81" s="1026" t="n"/>
      <c r="M81" s="1026" t="n"/>
      <c r="N81" s="1026" t="n"/>
      <c r="O81" s="1026" t="n"/>
      <c r="P81" s="1026" t="n"/>
      <c r="Q81" s="1026" t="n"/>
      <c r="R81" s="1026" t="n"/>
      <c r="S81" s="1026" t="n"/>
    </row>
    <row r="82" ht="12" customHeight="1" s="862">
      <c r="A82" s="1026" t="n"/>
      <c r="B82" s="1026" t="n"/>
      <c r="C82" s="1026" t="n"/>
      <c r="D82" s="1026" t="n"/>
      <c r="E82" s="1026" t="n"/>
      <c r="F82" s="1026" t="n"/>
      <c r="G82" s="1026" t="n"/>
      <c r="H82" s="1026" t="n"/>
      <c r="I82" s="1026" t="n"/>
      <c r="J82" s="1026" t="n"/>
      <c r="K82" s="1026" t="n"/>
      <c r="L82" s="1026" t="n"/>
      <c r="M82" s="1026" t="n"/>
      <c r="N82" s="1026" t="n"/>
      <c r="O82" s="1026" t="n"/>
      <c r="P82" s="1026" t="n"/>
      <c r="Q82" s="1026" t="n"/>
      <c r="R82" s="1026" t="n"/>
      <c r="S82" s="1026" t="n"/>
    </row>
    <row r="83" ht="12" customHeight="1" s="862">
      <c r="A83" s="1026" t="n"/>
      <c r="B83" s="1026" t="n"/>
      <c r="C83" s="1026" t="n"/>
      <c r="D83" s="1026" t="n"/>
      <c r="E83" s="1026" t="n"/>
      <c r="F83" s="1026" t="n"/>
      <c r="G83" s="1026" t="n"/>
      <c r="H83" s="1026" t="n"/>
      <c r="I83" s="1026" t="n"/>
      <c r="J83" s="1026" t="n"/>
      <c r="K83" s="1026" t="n"/>
      <c r="L83" s="1026" t="n"/>
      <c r="M83" s="1026" t="n"/>
      <c r="N83" s="1026" t="n"/>
      <c r="O83" s="1026" t="n"/>
      <c r="P83" s="1026" t="n"/>
      <c r="Q83" s="1026" t="n"/>
      <c r="R83" s="1026" t="n"/>
      <c r="S83" s="1026" t="n"/>
    </row>
    <row r="84" ht="12" customHeight="1" s="862">
      <c r="A84" s="1026" t="n"/>
      <c r="B84" s="1026" t="n"/>
      <c r="C84" s="1026" t="n"/>
      <c r="D84" s="1026" t="n"/>
      <c r="E84" s="1026" t="n"/>
      <c r="F84" s="1026" t="n"/>
      <c r="G84" s="1026" t="n"/>
      <c r="H84" s="1026" t="n"/>
      <c r="I84" s="1026" t="n"/>
      <c r="J84" s="1026" t="n"/>
      <c r="K84" s="1026" t="n"/>
      <c r="L84" s="1026" t="n"/>
      <c r="M84" s="1026" t="n"/>
      <c r="N84" s="1026" t="n"/>
      <c r="O84" s="1026" t="n"/>
      <c r="P84" s="1026" t="n"/>
      <c r="Q84" s="1026" t="n"/>
      <c r="R84" s="1026" t="n"/>
      <c r="S84" s="1026" t="n"/>
    </row>
    <row r="85" ht="12" customHeight="1" s="862">
      <c r="A85" s="1026" t="n"/>
      <c r="B85" s="1026" t="n"/>
      <c r="C85" s="1026" t="n"/>
      <c r="D85" s="1026" t="n"/>
      <c r="E85" s="1026" t="n"/>
      <c r="F85" s="1026" t="n"/>
      <c r="G85" s="1026" t="n"/>
      <c r="H85" s="1026" t="n"/>
      <c r="I85" s="1026" t="n"/>
      <c r="J85" s="1026" t="n"/>
      <c r="K85" s="1026" t="n"/>
      <c r="L85" s="1026" t="n"/>
      <c r="M85" s="1026" t="n"/>
      <c r="N85" s="1026" t="n"/>
      <c r="O85" s="1026" t="n"/>
      <c r="P85" s="1026" t="n"/>
      <c r="Q85" s="1026" t="n"/>
      <c r="R85" s="1026" t="n"/>
      <c r="S85" s="1026" t="n"/>
    </row>
    <row r="86" ht="12" customHeight="1" s="862">
      <c r="A86" s="1026" t="n"/>
      <c r="B86" s="1026" t="n"/>
      <c r="C86" s="1026" t="n"/>
      <c r="D86" s="1026" t="n"/>
      <c r="E86" s="1026" t="n"/>
      <c r="F86" s="1026" t="n"/>
      <c r="G86" s="1026" t="n"/>
      <c r="H86" s="1026" t="n"/>
      <c r="I86" s="1026" t="n"/>
      <c r="J86" s="1026" t="n"/>
      <c r="K86" s="1026" t="n"/>
      <c r="L86" s="1026" t="n"/>
      <c r="M86" s="1026" t="n"/>
      <c r="N86" s="1026" t="n"/>
      <c r="O86" s="1026" t="n"/>
      <c r="P86" s="1026" t="n"/>
      <c r="Q86" s="1026" t="n"/>
      <c r="R86" s="1026" t="n"/>
      <c r="S86" s="1026" t="n"/>
    </row>
    <row r="87" ht="12" customHeight="1" s="862">
      <c r="A87" s="1026" t="n"/>
      <c r="B87" s="1026" t="n"/>
      <c r="C87" s="1026" t="n"/>
      <c r="D87" s="1026" t="n"/>
      <c r="E87" s="1026" t="n"/>
      <c r="F87" s="1026" t="n"/>
      <c r="G87" s="1026" t="n"/>
      <c r="H87" s="1026" t="n"/>
      <c r="I87" s="1026" t="n"/>
      <c r="J87" s="1026" t="n"/>
      <c r="K87" s="1026" t="n"/>
      <c r="L87" s="1026" t="n"/>
      <c r="M87" s="1026" t="n"/>
      <c r="N87" s="1026" t="n"/>
      <c r="O87" s="1026" t="n"/>
      <c r="P87" s="1026" t="n"/>
      <c r="Q87" s="1026" t="n"/>
      <c r="R87" s="1026" t="n"/>
      <c r="S87" s="1026" t="n"/>
    </row>
    <row r="88" ht="12" customHeight="1" s="862">
      <c r="A88" s="1026" t="n"/>
      <c r="B88" s="1026" t="n"/>
      <c r="C88" s="1026" t="n"/>
      <c r="D88" s="1026" t="n"/>
      <c r="E88" s="1026" t="n"/>
      <c r="F88" s="1026" t="n"/>
      <c r="G88" s="1026" t="n"/>
      <c r="H88" s="1026" t="n"/>
      <c r="I88" s="1026" t="n"/>
      <c r="J88" s="1026" t="n"/>
      <c r="K88" s="1026" t="n"/>
      <c r="L88" s="1026" t="n"/>
      <c r="M88" s="1026" t="n"/>
      <c r="N88" s="1026" t="n"/>
      <c r="O88" s="1026" t="n"/>
      <c r="P88" s="1026" t="n"/>
      <c r="Q88" s="1026" t="n"/>
      <c r="R88" s="1026" t="n"/>
      <c r="S88" s="1026" t="n"/>
    </row>
    <row r="89" ht="12" customHeight="1" s="862">
      <c r="A89" s="1026" t="n"/>
      <c r="B89" s="1026" t="n"/>
      <c r="C89" s="1026" t="n"/>
      <c r="D89" s="1026" t="n"/>
      <c r="E89" s="1026" t="n"/>
      <c r="F89" s="1026" t="n"/>
      <c r="G89" s="1026" t="n"/>
      <c r="H89" s="1026" t="n"/>
      <c r="I89" s="1026" t="n"/>
      <c r="J89" s="1026" t="n"/>
      <c r="K89" s="1026" t="n"/>
      <c r="L89" s="1026" t="n"/>
      <c r="M89" s="1026" t="n"/>
      <c r="N89" s="1026" t="n"/>
      <c r="O89" s="1026" t="n"/>
      <c r="P89" s="1026" t="n"/>
      <c r="Q89" s="1026" t="n"/>
      <c r="R89" s="1026" t="n"/>
      <c r="S89" s="1026" t="n"/>
    </row>
    <row r="90" ht="12" customHeight="1" s="862">
      <c r="A90" s="1026" t="n"/>
      <c r="B90" s="1026" t="n"/>
      <c r="C90" s="1026" t="n"/>
      <c r="D90" s="1026" t="n"/>
      <c r="E90" s="1026" t="n"/>
      <c r="F90" s="1026" t="n"/>
      <c r="G90" s="1026" t="n"/>
      <c r="H90" s="1026" t="n"/>
      <c r="I90" s="1026" t="n"/>
      <c r="J90" s="1026" t="n"/>
      <c r="K90" s="1026" t="n"/>
      <c r="L90" s="1026" t="n"/>
      <c r="M90" s="1026" t="n"/>
      <c r="N90" s="1026" t="n"/>
      <c r="O90" s="1026" t="n"/>
      <c r="P90" s="1026" t="n"/>
      <c r="Q90" s="1026" t="n"/>
      <c r="R90" s="1026" t="n"/>
      <c r="S90" s="1026" t="n"/>
    </row>
    <row r="91" ht="12" customHeight="1" s="862">
      <c r="A91" s="1026" t="n"/>
      <c r="B91" s="1026" t="n"/>
      <c r="C91" s="1026" t="n"/>
      <c r="D91" s="1026" t="n"/>
      <c r="E91" s="1026" t="n"/>
      <c r="F91" s="1026" t="n"/>
      <c r="G91" s="1026" t="n"/>
      <c r="H91" s="1026" t="n"/>
      <c r="I91" s="1026" t="n"/>
      <c r="J91" s="1026" t="n"/>
      <c r="K91" s="1026" t="n"/>
      <c r="L91" s="1026" t="n"/>
      <c r="M91" s="1026" t="n"/>
      <c r="N91" s="1026" t="n"/>
      <c r="O91" s="1026" t="n"/>
      <c r="P91" s="1026" t="n"/>
      <c r="Q91" s="1026" t="n"/>
      <c r="R91" s="1026" t="n"/>
      <c r="S91" s="1026" t="n"/>
    </row>
    <row r="92" ht="12" customHeight="1" s="862">
      <c r="A92" s="1026" t="n"/>
      <c r="B92" s="1026" t="n"/>
      <c r="C92" s="1026" t="n"/>
      <c r="D92" s="1026" t="n"/>
      <c r="E92" s="1026" t="n"/>
      <c r="F92" s="1026" t="n"/>
      <c r="G92" s="1026" t="n"/>
      <c r="H92" s="1026" t="n"/>
      <c r="I92" s="1026" t="n"/>
      <c r="J92" s="1026" t="n"/>
      <c r="K92" s="1026" t="n"/>
      <c r="L92" s="1026" t="n"/>
      <c r="M92" s="1026" t="n"/>
      <c r="N92" s="1026" t="n"/>
      <c r="O92" s="1026" t="n"/>
      <c r="P92" s="1026" t="n"/>
      <c r="Q92" s="1026" t="n"/>
      <c r="R92" s="1026" t="n"/>
      <c r="S92" s="1026" t="n"/>
    </row>
    <row r="93" ht="12" customHeight="1" s="862">
      <c r="A93" s="1026" t="n"/>
      <c r="B93" s="1026" t="n"/>
      <c r="C93" s="1026" t="n"/>
      <c r="D93" s="1026" t="n"/>
      <c r="E93" s="1026" t="n"/>
      <c r="F93" s="1026" t="n"/>
      <c r="G93" s="1026" t="n"/>
      <c r="H93" s="1026" t="n"/>
      <c r="I93" s="1026" t="n"/>
      <c r="J93" s="1026" t="n"/>
      <c r="K93" s="1026" t="n"/>
      <c r="L93" s="1026" t="n"/>
      <c r="M93" s="1026" t="n"/>
      <c r="N93" s="1026" t="n"/>
      <c r="O93" s="1026" t="n"/>
      <c r="P93" s="1026" t="n"/>
      <c r="Q93" s="1026" t="n"/>
      <c r="R93" s="1026" t="n"/>
      <c r="S93" s="1026" t="n"/>
    </row>
    <row r="94" ht="12" customHeight="1" s="862">
      <c r="A94" s="1026" t="n"/>
      <c r="B94" s="1026" t="n"/>
      <c r="C94" s="1026" t="n"/>
      <c r="D94" s="1026" t="n"/>
      <c r="E94" s="1026" t="n"/>
      <c r="F94" s="1026" t="n"/>
      <c r="G94" s="1026" t="n"/>
      <c r="H94" s="1026" t="n"/>
      <c r="I94" s="1026" t="n"/>
      <c r="J94" s="1026" t="n"/>
      <c r="K94" s="1026" t="n"/>
      <c r="L94" s="1026" t="n"/>
      <c r="M94" s="1026" t="n"/>
      <c r="N94" s="1026" t="n"/>
      <c r="O94" s="1026" t="n"/>
      <c r="P94" s="1026" t="n"/>
      <c r="Q94" s="1026" t="n"/>
      <c r="R94" s="1026" t="n"/>
      <c r="S94" s="1026" t="n"/>
    </row>
    <row r="95" ht="12" customHeight="1" s="862">
      <c r="A95" s="1026" t="n"/>
      <c r="B95" s="1026" t="n"/>
      <c r="C95" s="1026" t="n"/>
      <c r="D95" s="1026" t="n"/>
      <c r="E95" s="1026" t="n"/>
      <c r="F95" s="1026" t="n"/>
      <c r="G95" s="1026" t="n"/>
      <c r="H95" s="1026" t="n"/>
      <c r="I95" s="1026" t="n"/>
      <c r="J95" s="1026" t="n"/>
      <c r="K95" s="1026" t="n"/>
      <c r="L95" s="1026" t="n"/>
      <c r="M95" s="1026" t="n"/>
      <c r="N95" s="1026" t="n"/>
      <c r="O95" s="1026" t="n"/>
      <c r="P95" s="1026" t="n"/>
      <c r="Q95" s="1026" t="n"/>
      <c r="R95" s="1026" t="n"/>
      <c r="S95" s="1026" t="n"/>
    </row>
    <row r="96" ht="12" customHeight="1" s="862">
      <c r="A96" s="1026" t="n"/>
      <c r="B96" s="1026" t="n"/>
      <c r="C96" s="1026" t="n"/>
      <c r="D96" s="1026" t="n"/>
      <c r="E96" s="1026" t="n"/>
      <c r="F96" s="1026" t="n"/>
      <c r="G96" s="1026" t="n"/>
      <c r="H96" s="1026" t="n"/>
      <c r="I96" s="1026" t="n"/>
      <c r="J96" s="1026" t="n"/>
      <c r="K96" s="1026" t="n"/>
      <c r="L96" s="1026" t="n"/>
      <c r="M96" s="1026" t="n"/>
      <c r="N96" s="1026" t="n"/>
      <c r="O96" s="1026" t="n"/>
      <c r="P96" s="1026" t="n"/>
      <c r="Q96" s="1026" t="n"/>
      <c r="R96" s="1026" t="n"/>
      <c r="S96" s="1026" t="n"/>
    </row>
    <row r="97" ht="12" customHeight="1" s="862">
      <c r="A97" s="1026" t="n"/>
      <c r="B97" s="1026" t="n"/>
      <c r="C97" s="1026" t="n"/>
      <c r="D97" s="1026" t="n"/>
      <c r="E97" s="1026" t="n"/>
      <c r="F97" s="1026" t="n"/>
      <c r="G97" s="1026" t="n"/>
      <c r="H97" s="1026" t="n"/>
      <c r="I97" s="1026" t="n"/>
      <c r="J97" s="1026" t="n"/>
      <c r="K97" s="1026" t="n"/>
      <c r="L97" s="1026" t="n"/>
      <c r="M97" s="1026" t="n"/>
      <c r="N97" s="1026" t="n"/>
      <c r="O97" s="1026" t="n"/>
      <c r="P97" s="1026" t="n"/>
      <c r="Q97" s="1026" t="n"/>
      <c r="R97" s="1026" t="n"/>
      <c r="S97" s="1026" t="n"/>
    </row>
    <row r="98" ht="12" customHeight="1" s="862">
      <c r="A98" s="1026" t="n"/>
      <c r="B98" s="1026" t="n"/>
      <c r="C98" s="1026" t="n"/>
      <c r="D98" s="1026" t="n"/>
      <c r="E98" s="1026" t="n"/>
      <c r="F98" s="1026" t="n"/>
      <c r="G98" s="1026" t="n"/>
      <c r="H98" s="1026" t="n"/>
      <c r="I98" s="1026" t="n"/>
      <c r="J98" s="1026" t="n"/>
      <c r="K98" s="1026" t="n"/>
      <c r="L98" s="1026" t="n"/>
      <c r="M98" s="1026" t="n"/>
      <c r="N98" s="1026" t="n"/>
      <c r="O98" s="1026" t="n"/>
      <c r="P98" s="1026" t="n"/>
      <c r="Q98" s="1026" t="n"/>
      <c r="R98" s="1026" t="n"/>
      <c r="S98" s="1026" t="n"/>
    </row>
    <row r="99" ht="12" customHeight="1" s="862">
      <c r="A99" s="1026" t="n"/>
      <c r="B99" s="1026" t="n"/>
      <c r="C99" s="1026" t="n"/>
      <c r="D99" s="1026" t="n"/>
      <c r="E99" s="1026" t="n"/>
      <c r="F99" s="1026" t="n"/>
      <c r="G99" s="1026" t="n"/>
      <c r="H99" s="1026" t="n"/>
      <c r="I99" s="1026" t="n"/>
      <c r="J99" s="1026" t="n"/>
      <c r="K99" s="1026" t="n"/>
      <c r="L99" s="1026" t="n"/>
      <c r="M99" s="1026" t="n"/>
      <c r="N99" s="1026" t="n"/>
      <c r="O99" s="1026" t="n"/>
      <c r="P99" s="1026" t="n"/>
      <c r="Q99" s="1026" t="n"/>
      <c r="R99" s="1026" t="n"/>
      <c r="S99" s="1026" t="n"/>
    </row>
    <row r="100" ht="12" customHeight="1" s="862">
      <c r="A100" s="1026" t="n"/>
      <c r="B100" s="1026" t="n"/>
      <c r="C100" s="1026" t="n"/>
      <c r="D100" s="1026" t="n"/>
      <c r="E100" s="1026" t="n"/>
      <c r="F100" s="1026" t="n"/>
      <c r="G100" s="1026" t="n"/>
      <c r="H100" s="1026" t="n"/>
      <c r="I100" s="1026" t="n"/>
      <c r="J100" s="1026" t="n"/>
      <c r="K100" s="1026" t="n"/>
      <c r="L100" s="1026" t="n"/>
      <c r="M100" s="1026" t="n"/>
      <c r="N100" s="1026" t="n"/>
      <c r="O100" s="1026" t="n"/>
      <c r="P100" s="1026" t="n"/>
      <c r="Q100" s="1026" t="n"/>
      <c r="R100" s="1026" t="n"/>
      <c r="S100" s="1026" t="n"/>
    </row>
    <row r="101" ht="12" customHeight="1" s="862">
      <c r="A101" s="1026" t="n"/>
      <c r="B101" s="1026" t="n"/>
      <c r="C101" s="1026" t="n"/>
      <c r="D101" s="1026" t="n"/>
      <c r="E101" s="1026" t="n"/>
      <c r="F101" s="1026" t="n"/>
      <c r="G101" s="1026" t="n"/>
      <c r="H101" s="1026" t="n"/>
      <c r="I101" s="1026" t="n"/>
      <c r="J101" s="1026" t="n"/>
      <c r="K101" s="1026" t="n"/>
      <c r="L101" s="1026" t="n"/>
      <c r="M101" s="1026" t="n"/>
      <c r="N101" s="1026" t="n"/>
      <c r="O101" s="1026" t="n"/>
      <c r="P101" s="1026" t="n"/>
      <c r="Q101" s="1026" t="n"/>
      <c r="R101" s="1026" t="n"/>
      <c r="S101" s="1026" t="n"/>
    </row>
    <row r="102" ht="12" customHeight="1" s="862">
      <c r="A102" s="1026" t="n"/>
      <c r="B102" s="1026" t="n"/>
      <c r="C102" s="1026" t="n"/>
      <c r="D102" s="1026" t="n"/>
      <c r="E102" s="1026" t="n"/>
      <c r="F102" s="1026" t="n"/>
      <c r="G102" s="1026" t="n"/>
      <c r="H102" s="1026" t="n"/>
      <c r="I102" s="1026" t="n"/>
      <c r="J102" s="1026" t="n"/>
      <c r="K102" s="1026" t="n"/>
      <c r="L102" s="1026" t="n"/>
      <c r="M102" s="1026" t="n"/>
      <c r="N102" s="1026" t="n"/>
      <c r="O102" s="1026" t="n"/>
      <c r="P102" s="1026" t="n"/>
      <c r="Q102" s="1026" t="n"/>
      <c r="R102" s="1026" t="n"/>
      <c r="S102" s="1026" t="n"/>
    </row>
    <row r="103" ht="12" customHeight="1" s="862">
      <c r="A103" s="1026" t="n"/>
      <c r="B103" s="1026" t="n"/>
      <c r="C103" s="1026" t="n"/>
      <c r="D103" s="1026" t="n"/>
      <c r="E103" s="1026" t="n"/>
      <c r="F103" s="1026" t="n"/>
      <c r="G103" s="1026" t="n"/>
      <c r="H103" s="1026" t="n"/>
      <c r="I103" s="1026" t="n"/>
      <c r="J103" s="1026" t="n"/>
      <c r="K103" s="1026" t="n"/>
      <c r="L103" s="1026" t="n"/>
      <c r="M103" s="1026" t="n"/>
      <c r="N103" s="1026" t="n"/>
      <c r="O103" s="1026" t="n"/>
      <c r="P103" s="1026" t="n"/>
      <c r="Q103" s="1026" t="n"/>
      <c r="R103" s="1026" t="n"/>
      <c r="S103" s="1026" t="n"/>
    </row>
    <row r="104" ht="12" customHeight="1" s="862">
      <c r="A104" s="1026" t="n"/>
      <c r="B104" s="1026" t="n"/>
      <c r="C104" s="1026" t="n"/>
      <c r="D104" s="1026" t="n"/>
      <c r="E104" s="1026" t="n"/>
      <c r="F104" s="1026" t="n"/>
      <c r="G104" s="1026" t="n"/>
      <c r="H104" s="1026" t="n"/>
      <c r="I104" s="1026" t="n"/>
      <c r="J104" s="1026" t="n"/>
      <c r="K104" s="1026" t="n"/>
      <c r="L104" s="1026" t="n"/>
      <c r="M104" s="1026" t="n"/>
      <c r="N104" s="1026" t="n"/>
      <c r="O104" s="1026" t="n"/>
      <c r="P104" s="1026" t="n"/>
      <c r="Q104" s="1026" t="n"/>
      <c r="R104" s="1026" t="n"/>
      <c r="S104" s="1026" t="n"/>
    </row>
    <row r="105" ht="12" customHeight="1" s="862">
      <c r="A105" s="1026" t="n"/>
      <c r="B105" s="1026" t="n"/>
      <c r="C105" s="1026" t="n"/>
      <c r="D105" s="1026" t="n"/>
      <c r="E105" s="1026" t="n"/>
      <c r="F105" s="1026" t="n"/>
      <c r="G105" s="1026" t="n"/>
      <c r="H105" s="1026" t="n"/>
      <c r="I105" s="1026" t="n"/>
      <c r="J105" s="1026" t="n"/>
      <c r="K105" s="1026" t="n"/>
      <c r="L105" s="1026" t="n"/>
      <c r="M105" s="1026" t="n"/>
      <c r="N105" s="1026" t="n"/>
      <c r="O105" s="1026" t="n"/>
      <c r="P105" s="1026" t="n"/>
      <c r="Q105" s="1026" t="n"/>
      <c r="R105" s="1026" t="n"/>
      <c r="S105" s="1026" t="n"/>
    </row>
    <row r="106" ht="12" customHeight="1" s="862">
      <c r="A106" s="1026" t="n"/>
      <c r="B106" s="1026" t="n"/>
      <c r="C106" s="1026" t="n"/>
      <c r="D106" s="1026" t="n"/>
      <c r="E106" s="1026" t="n"/>
      <c r="F106" s="1026" t="n"/>
      <c r="G106" s="1026" t="n"/>
      <c r="H106" s="1026" t="n"/>
      <c r="I106" s="1026" t="n"/>
      <c r="J106" s="1026" t="n"/>
      <c r="K106" s="1026" t="n"/>
      <c r="L106" s="1026" t="n"/>
      <c r="M106" s="1026" t="n"/>
      <c r="N106" s="1026" t="n"/>
      <c r="O106" s="1026" t="n"/>
      <c r="P106" s="1026" t="n"/>
      <c r="Q106" s="1026" t="n"/>
      <c r="R106" s="1026" t="n"/>
      <c r="S106" s="1026" t="n"/>
    </row>
    <row r="107" ht="12" customHeight="1" s="862">
      <c r="A107" s="1026" t="n"/>
      <c r="B107" s="1026" t="n"/>
      <c r="C107" s="1026" t="n"/>
      <c r="D107" s="1026" t="n"/>
      <c r="E107" s="1026" t="n"/>
      <c r="F107" s="1026" t="n"/>
      <c r="G107" s="1026" t="n"/>
      <c r="H107" s="1026" t="n"/>
      <c r="I107" s="1026" t="n"/>
      <c r="J107" s="1026" t="n"/>
      <c r="K107" s="1026" t="n"/>
      <c r="L107" s="1026" t="n"/>
      <c r="M107" s="1026" t="n"/>
      <c r="N107" s="1026" t="n"/>
      <c r="O107" s="1026" t="n"/>
      <c r="P107" s="1026" t="n"/>
      <c r="Q107" s="1026" t="n"/>
      <c r="R107" s="1026" t="n"/>
      <c r="S107" s="1026" t="n"/>
    </row>
    <row r="108" ht="12" customHeight="1" s="862">
      <c r="A108" s="1026" t="n"/>
      <c r="B108" s="1026" t="n"/>
      <c r="C108" s="1026" t="n"/>
      <c r="D108" s="1026" t="n"/>
      <c r="E108" s="1026" t="n"/>
      <c r="F108" s="1026" t="n"/>
      <c r="G108" s="1026" t="n"/>
      <c r="H108" s="1026" t="n"/>
      <c r="I108" s="1026" t="n"/>
      <c r="J108" s="1026" t="n"/>
      <c r="K108" s="1026" t="n"/>
      <c r="L108" s="1026" t="n"/>
      <c r="M108" s="1026" t="n"/>
      <c r="N108" s="1026" t="n"/>
      <c r="O108" s="1026" t="n"/>
      <c r="P108" s="1026" t="n"/>
      <c r="Q108" s="1026" t="n"/>
      <c r="R108" s="1026" t="n"/>
      <c r="S108" s="1026" t="n"/>
    </row>
    <row r="109" ht="12" customHeight="1" s="862">
      <c r="A109" s="1026" t="n"/>
      <c r="B109" s="1026" t="n"/>
      <c r="C109" s="1026" t="n"/>
      <c r="D109" s="1026" t="n"/>
      <c r="E109" s="1026" t="n"/>
      <c r="F109" s="1026" t="n"/>
      <c r="G109" s="1026" t="n"/>
      <c r="H109" s="1026" t="n"/>
      <c r="I109" s="1026" t="n"/>
      <c r="J109" s="1026" t="n"/>
      <c r="K109" s="1026" t="n"/>
      <c r="L109" s="1026" t="n"/>
      <c r="M109" s="1026" t="n"/>
      <c r="N109" s="1026" t="n"/>
      <c r="O109" s="1026" t="n"/>
      <c r="P109" s="1026" t="n"/>
      <c r="Q109" s="1026" t="n"/>
      <c r="R109" s="1026" t="n"/>
      <c r="S109" s="1026" t="n"/>
    </row>
    <row r="110" ht="12" customHeight="1" s="862">
      <c r="A110" s="1026" t="n"/>
      <c r="B110" s="1026" t="n"/>
      <c r="C110" s="1026" t="n"/>
      <c r="D110" s="1026" t="n"/>
      <c r="E110" s="1026" t="n"/>
      <c r="F110" s="1026" t="n"/>
      <c r="G110" s="1026" t="n"/>
      <c r="H110" s="1026" t="n"/>
      <c r="I110" s="1026" t="n"/>
      <c r="J110" s="1026" t="n"/>
      <c r="K110" s="1026" t="n"/>
      <c r="L110" s="1026" t="n"/>
      <c r="M110" s="1026" t="n"/>
      <c r="N110" s="1026" t="n"/>
      <c r="O110" s="1026" t="n"/>
      <c r="P110" s="1026" t="n"/>
      <c r="Q110" s="1026" t="n"/>
      <c r="R110" s="1026" t="n"/>
      <c r="S110" s="1026" t="n"/>
    </row>
    <row r="111" ht="12" customHeight="1" s="862">
      <c r="A111" s="1026" t="n"/>
      <c r="B111" s="1026" t="n"/>
      <c r="C111" s="1026" t="n"/>
      <c r="D111" s="1026" t="n"/>
      <c r="E111" s="1026" t="n"/>
      <c r="F111" s="1026" t="n"/>
      <c r="G111" s="1026" t="n"/>
      <c r="H111" s="1026" t="n"/>
      <c r="I111" s="1026" t="n"/>
      <c r="J111" s="1026" t="n"/>
      <c r="K111" s="1026" t="n"/>
      <c r="L111" s="1026" t="n"/>
      <c r="M111" s="1026" t="n"/>
      <c r="N111" s="1026" t="n"/>
      <c r="O111" s="1026" t="n"/>
      <c r="P111" s="1026" t="n"/>
      <c r="Q111" s="1026" t="n"/>
      <c r="R111" s="1026" t="n"/>
      <c r="S111" s="1026" t="n"/>
    </row>
    <row r="112" ht="12" customHeight="1" s="862">
      <c r="A112" s="1026" t="n"/>
      <c r="B112" s="1026" t="n"/>
      <c r="C112" s="1026" t="n"/>
      <c r="D112" s="1026" t="n"/>
      <c r="E112" s="1026" t="n"/>
      <c r="F112" s="1026" t="n"/>
      <c r="G112" s="1026" t="n"/>
      <c r="H112" s="1026" t="n"/>
      <c r="I112" s="1026" t="n"/>
      <c r="J112" s="1026" t="n"/>
      <c r="K112" s="1026" t="n"/>
      <c r="L112" s="1026" t="n"/>
      <c r="M112" s="1026" t="n"/>
      <c r="N112" s="1026" t="n"/>
      <c r="O112" s="1026" t="n"/>
      <c r="P112" s="1026" t="n"/>
      <c r="Q112" s="1026" t="n"/>
      <c r="R112" s="1026" t="n"/>
      <c r="S112" s="1026" t="n"/>
    </row>
    <row r="113" ht="12" customHeight="1" s="862">
      <c r="A113" s="1026" t="n"/>
      <c r="B113" s="1026" t="n"/>
      <c r="C113" s="1026" t="n"/>
      <c r="D113" s="1026" t="n"/>
      <c r="E113" s="1026" t="n"/>
      <c r="F113" s="1026" t="n"/>
      <c r="G113" s="1026" t="n"/>
      <c r="H113" s="1026" t="n"/>
      <c r="I113" s="1026" t="n"/>
      <c r="J113" s="1026" t="n"/>
      <c r="K113" s="1026" t="n"/>
      <c r="L113" s="1026" t="n"/>
      <c r="M113" s="1026" t="n"/>
      <c r="N113" s="1026" t="n"/>
      <c r="O113" s="1026" t="n"/>
      <c r="P113" s="1026" t="n"/>
      <c r="Q113" s="1026" t="n"/>
      <c r="R113" s="1026" t="n"/>
      <c r="S113" s="1026" t="n"/>
    </row>
    <row r="114" ht="12" customHeight="1" s="862">
      <c r="A114" s="1026" t="n"/>
      <c r="B114" s="1026" t="n"/>
      <c r="C114" s="1026" t="n"/>
      <c r="D114" s="1026" t="n"/>
      <c r="E114" s="1026" t="n"/>
      <c r="F114" s="1026" t="n"/>
      <c r="G114" s="1026" t="n"/>
      <c r="H114" s="1026" t="n"/>
      <c r="I114" s="1026" t="n"/>
      <c r="J114" s="1026" t="n"/>
      <c r="K114" s="1026" t="n"/>
      <c r="L114" s="1026" t="n"/>
      <c r="M114" s="1026" t="n"/>
      <c r="N114" s="1026" t="n"/>
      <c r="O114" s="1026" t="n"/>
      <c r="P114" s="1026" t="n"/>
      <c r="Q114" s="1026" t="n"/>
      <c r="R114" s="1026" t="n"/>
      <c r="S114" s="1026" t="n"/>
    </row>
    <row r="115" ht="12" customHeight="1" s="862">
      <c r="A115" s="1026" t="n"/>
      <c r="B115" s="1026" t="n"/>
      <c r="C115" s="1026" t="n"/>
      <c r="D115" s="1026" t="n"/>
      <c r="E115" s="1026" t="n"/>
      <c r="F115" s="1026" t="n"/>
      <c r="G115" s="1026" t="n"/>
      <c r="H115" s="1026" t="n"/>
      <c r="I115" s="1026" t="n"/>
      <c r="J115" s="1026" t="n"/>
      <c r="K115" s="1026" t="n"/>
      <c r="L115" s="1026" t="n"/>
      <c r="M115" s="1026" t="n"/>
      <c r="N115" s="1026" t="n"/>
      <c r="O115" s="1026" t="n"/>
      <c r="P115" s="1026" t="n"/>
      <c r="Q115" s="1026" t="n"/>
      <c r="R115" s="1026" t="n"/>
      <c r="S115" s="1026" t="n"/>
    </row>
    <row r="116" ht="12" customHeight="1" s="862">
      <c r="A116" s="1026" t="n"/>
      <c r="B116" s="1026" t="n"/>
      <c r="C116" s="1026" t="n"/>
      <c r="D116" s="1026" t="n"/>
      <c r="E116" s="1026" t="n"/>
      <c r="F116" s="1026" t="n"/>
      <c r="G116" s="1026" t="n"/>
      <c r="H116" s="1026" t="n"/>
      <c r="I116" s="1026" t="n"/>
      <c r="J116" s="1026" t="n"/>
      <c r="K116" s="1026" t="n"/>
      <c r="L116" s="1026" t="n"/>
      <c r="M116" s="1026" t="n"/>
      <c r="N116" s="1026" t="n"/>
      <c r="O116" s="1026" t="n"/>
      <c r="P116" s="1026" t="n"/>
      <c r="Q116" s="1026" t="n"/>
      <c r="R116" s="1026" t="n"/>
      <c r="S116" s="1026" t="n"/>
    </row>
    <row r="117" ht="12" customHeight="1" s="862">
      <c r="A117" s="1026" t="n"/>
      <c r="B117" s="1026" t="n"/>
      <c r="C117" s="1026" t="n"/>
      <c r="D117" s="1026" t="n"/>
      <c r="E117" s="1026" t="n"/>
      <c r="F117" s="1026" t="n"/>
      <c r="G117" s="1026" t="n"/>
      <c r="H117" s="1026" t="n"/>
      <c r="I117" s="1026" t="n"/>
      <c r="J117" s="1026" t="n"/>
      <c r="K117" s="1026" t="n"/>
      <c r="L117" s="1026" t="n"/>
      <c r="M117" s="1026" t="n"/>
      <c r="N117" s="1026" t="n"/>
      <c r="O117" s="1026" t="n"/>
      <c r="P117" s="1026" t="n"/>
      <c r="Q117" s="1026" t="n"/>
      <c r="R117" s="1026" t="n"/>
      <c r="S117" s="1026" t="n"/>
    </row>
  </sheetData>
  <mergeCells count="156">
    <mergeCell ref="E44:S44"/>
    <mergeCell ref="E20:S20"/>
    <mergeCell ref="A37:C37"/>
    <mergeCell ref="A46:C46"/>
    <mergeCell ref="M22:R22"/>
    <mergeCell ref="E60:S60"/>
    <mergeCell ref="F2:H2"/>
    <mergeCell ref="A21:C21"/>
    <mergeCell ref="E69:S69"/>
    <mergeCell ref="A57:C57"/>
    <mergeCell ref="E59:S59"/>
    <mergeCell ref="A26:S30"/>
    <mergeCell ref="E46:S46"/>
    <mergeCell ref="R6:S6"/>
    <mergeCell ref="A23:L23"/>
    <mergeCell ref="AE60:AK61"/>
    <mergeCell ref="E61:S61"/>
    <mergeCell ref="A43:C43"/>
    <mergeCell ref="A52:C52"/>
    <mergeCell ref="A63:C63"/>
    <mergeCell ref="E54:S54"/>
    <mergeCell ref="E32:S32"/>
    <mergeCell ref="H5:J5"/>
    <mergeCell ref="D6:G6"/>
    <mergeCell ref="E41:S41"/>
    <mergeCell ref="E24:I25"/>
    <mergeCell ref="A34:C34"/>
    <mergeCell ref="E47:S47"/>
    <mergeCell ref="M8:N8"/>
    <mergeCell ref="E56:S56"/>
    <mergeCell ref="O8:P8"/>
    <mergeCell ref="N5:Q5"/>
    <mergeCell ref="I2:K2"/>
    <mergeCell ref="A49:C49"/>
    <mergeCell ref="K5:M5"/>
    <mergeCell ref="A6:C6"/>
    <mergeCell ref="D7:G7"/>
    <mergeCell ref="A69:C69"/>
    <mergeCell ref="E17:S17"/>
    <mergeCell ref="A66:C66"/>
    <mergeCell ref="A22:D22"/>
    <mergeCell ref="E63:S63"/>
    <mergeCell ref="E10:S10"/>
    <mergeCell ref="E19:S19"/>
    <mergeCell ref="A3:C3"/>
    <mergeCell ref="A55:C55"/>
    <mergeCell ref="A4:S4"/>
    <mergeCell ref="A12:C12"/>
    <mergeCell ref="E65:S65"/>
    <mergeCell ref="E34:S34"/>
    <mergeCell ref="H7:J7"/>
    <mergeCell ref="D2:E2"/>
    <mergeCell ref="A5:C5"/>
    <mergeCell ref="E49:S49"/>
    <mergeCell ref="A32:C32"/>
    <mergeCell ref="A14:C14"/>
    <mergeCell ref="O3:R3"/>
    <mergeCell ref="E36:S36"/>
    <mergeCell ref="E11:S11"/>
    <mergeCell ref="E45:S45"/>
    <mergeCell ref="K7:M7"/>
    <mergeCell ref="A38:C38"/>
    <mergeCell ref="A13:C13"/>
    <mergeCell ref="A44:C44"/>
    <mergeCell ref="A31:C31"/>
    <mergeCell ref="A58:C58"/>
    <mergeCell ref="A40:C40"/>
    <mergeCell ref="K24:O25"/>
    <mergeCell ref="A67:C67"/>
    <mergeCell ref="E37:S37"/>
    <mergeCell ref="I8:J8"/>
    <mergeCell ref="A15:C15"/>
    <mergeCell ref="E12:S12"/>
    <mergeCell ref="A51:C51"/>
    <mergeCell ref="E21:S21"/>
    <mergeCell ref="A60:C60"/>
    <mergeCell ref="E62:S62"/>
    <mergeCell ref="E8:G8"/>
    <mergeCell ref="E14:S14"/>
    <mergeCell ref="E22:L22"/>
    <mergeCell ref="A7:C7"/>
    <mergeCell ref="F3:H3"/>
    <mergeCell ref="A16:C16"/>
    <mergeCell ref="H6:J6"/>
    <mergeCell ref="E64:S64"/>
    <mergeCell ref="E51:S51"/>
    <mergeCell ref="A24:D25"/>
    <mergeCell ref="A18:C18"/>
    <mergeCell ref="O2:R2"/>
    <mergeCell ref="N6:Q6"/>
    <mergeCell ref="I3:K3"/>
    <mergeCell ref="A50:C50"/>
    <mergeCell ref="M23:S23"/>
    <mergeCell ref="A2:C2"/>
    <mergeCell ref="A42:C42"/>
    <mergeCell ref="R7:S7"/>
    <mergeCell ref="A47:C47"/>
    <mergeCell ref="J24:J25"/>
    <mergeCell ref="A62:C62"/>
    <mergeCell ref="N7:Q7"/>
    <mergeCell ref="A20:C20"/>
    <mergeCell ref="K8:L8"/>
    <mergeCell ref="E66:S66"/>
    <mergeCell ref="E53:S53"/>
    <mergeCell ref="L2:N2"/>
    <mergeCell ref="D3:E3"/>
    <mergeCell ref="A59:C59"/>
    <mergeCell ref="E50:S50"/>
    <mergeCell ref="A64:C64"/>
    <mergeCell ref="D1:R1"/>
    <mergeCell ref="E68:S68"/>
    <mergeCell ref="E55:S55"/>
    <mergeCell ref="A61:C61"/>
    <mergeCell ref="E52:S52"/>
    <mergeCell ref="E67:S67"/>
    <mergeCell ref="E39:S39"/>
    <mergeCell ref="R5:S5"/>
    <mergeCell ref="L3:N3"/>
    <mergeCell ref="E48:S48"/>
    <mergeCell ref="A54:C54"/>
    <mergeCell ref="A41:C41"/>
    <mergeCell ref="E38:S38"/>
    <mergeCell ref="E13:S13"/>
    <mergeCell ref="A56:C56"/>
    <mergeCell ref="E31:S31"/>
    <mergeCell ref="D5:G5"/>
    <mergeCell ref="E40:S40"/>
    <mergeCell ref="Q8:R8"/>
    <mergeCell ref="AE22:AK23"/>
    <mergeCell ref="E15:S15"/>
    <mergeCell ref="A33:C33"/>
    <mergeCell ref="A8:C8"/>
    <mergeCell ref="A9:S9"/>
    <mergeCell ref="A17:C17"/>
    <mergeCell ref="A53:C53"/>
    <mergeCell ref="A35:C35"/>
    <mergeCell ref="E57:S57"/>
    <mergeCell ref="A10:C10"/>
    <mergeCell ref="A19:C19"/>
    <mergeCell ref="A68:C68"/>
    <mergeCell ref="E16:S16"/>
    <mergeCell ref="K6:M6"/>
    <mergeCell ref="A39:C39"/>
    <mergeCell ref="A48:C48"/>
    <mergeCell ref="E43:S43"/>
    <mergeCell ref="E18:S18"/>
    <mergeCell ref="E58:S58"/>
    <mergeCell ref="P24:S25"/>
    <mergeCell ref="A36:C36"/>
    <mergeCell ref="A11:C11"/>
    <mergeCell ref="A1:C1"/>
    <mergeCell ref="E33:S33"/>
    <mergeCell ref="A45:C45"/>
    <mergeCell ref="E42:S42"/>
    <mergeCell ref="A65:C65"/>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4" colorId="64" zoomScale="140" zoomScaleNormal="115" zoomScalePageLayoutView="140" workbookViewId="0">
      <selection pane="topLeft" activeCell="A8" activeCellId="1" sqref="A11:S69 A8"/>
    </sheetView>
  </sheetViews>
  <sheetFormatPr baseColWidth="8" defaultColWidth="9.3359375" defaultRowHeight="13.5" customHeight="0" zeroHeight="0" outlineLevelRow="0"/>
  <cols>
    <col width="7.33" customWidth="1" style="1027" min="1" max="1"/>
    <col width="6.78" customWidth="1" style="1027" min="2" max="2"/>
    <col width="50.11" customWidth="1" style="1027" min="3" max="3"/>
    <col width="14.89" customWidth="1" style="1027" min="4" max="4"/>
    <col width="9.33" customWidth="1" style="1027" min="5" max="5"/>
    <col width="15.11" customWidth="1" style="1027" min="6" max="6"/>
    <col width="9.33" customWidth="1" style="1027" min="7" max="16384"/>
  </cols>
  <sheetData>
    <row r="1" ht="63" customHeight="1" s="862">
      <c r="A1" s="1028" t="n"/>
      <c r="B1" s="1029" t="n"/>
      <c r="C1" s="1029" t="n"/>
      <c r="D1" s="1029" t="n"/>
      <c r="E1" s="1029" t="n"/>
      <c r="F1" s="1030" t="n"/>
    </row>
    <row r="2" ht="13.5" customHeight="1" s="862">
      <c r="A2" s="1031" t="inlineStr">
        <is>
          <t>Final Proforma Invoice</t>
        </is>
      </c>
      <c r="B2" s="866" t="n"/>
      <c r="C2" s="866" t="n"/>
      <c r="D2" s="866" t="n"/>
      <c r="E2" s="866" t="n"/>
      <c r="F2" s="867" t="n"/>
    </row>
    <row r="3" ht="14.25" customHeight="1" s="862">
      <c r="A3" s="1032" t="inlineStr">
        <is>
          <t>Rig</t>
        </is>
      </c>
      <c r="B3" s="1033" t="n"/>
      <c r="C3" s="1034">
        <f>'Master Data'!E11</f>
        <v/>
      </c>
      <c r="D3" s="1035" t="inlineStr">
        <is>
          <t>DT</t>
        </is>
      </c>
      <c r="E3" s="1036">
        <f>'Master Data'!B15</f>
        <v/>
      </c>
      <c r="F3" s="1037" t="n"/>
    </row>
    <row r="4" ht="14.25" customHeight="1" s="862">
      <c r="A4" s="1038" t="inlineStr">
        <is>
          <t>Well</t>
        </is>
      </c>
      <c r="C4" s="1039">
        <f>'Master Data'!E10</f>
        <v/>
      </c>
      <c r="D4" s="1040" t="inlineStr">
        <is>
          <t>PO</t>
        </is>
      </c>
      <c r="E4" s="1041">
        <f>'Master Data'!B11</f>
        <v/>
      </c>
      <c r="F4" s="975" t="n"/>
    </row>
    <row r="5" ht="14.25" customHeight="1" s="862">
      <c r="A5" s="1038" t="inlineStr">
        <is>
          <t>Job</t>
        </is>
      </c>
      <c r="C5" s="1042">
        <f>'Master Data'!E3</f>
        <v/>
      </c>
      <c r="D5" s="1040" t="inlineStr">
        <is>
          <t>Contract</t>
        </is>
      </c>
      <c r="E5" s="1041">
        <f>'Master Data'!B10</f>
        <v/>
      </c>
      <c r="F5" s="975" t="n"/>
    </row>
    <row r="6" ht="14.25" customHeight="1" s="862">
      <c r="A6" s="1043" t="n"/>
      <c r="B6" s="997" t="n"/>
      <c r="C6" s="997" t="n"/>
      <c r="D6" s="1042" t="inlineStr">
        <is>
          <t>Customer</t>
        </is>
      </c>
      <c r="E6" s="1044">
        <f>'Master Data'!B3</f>
        <v/>
      </c>
      <c r="F6" s="1045" t="n"/>
    </row>
    <row r="7" ht="14.25" customFormat="1" customHeight="1" s="1046">
      <c r="A7" s="1047" t="inlineStr">
        <is>
          <t>S.No.</t>
        </is>
      </c>
      <c r="B7" s="1048" t="inlineStr">
        <is>
          <t>Description</t>
        </is>
      </c>
      <c r="C7" s="997" t="n"/>
      <c r="D7" s="1049" t="inlineStr">
        <is>
          <t>Per Day Rate $</t>
        </is>
      </c>
      <c r="E7" s="1049" t="inlineStr">
        <is>
          <t># Days</t>
        </is>
      </c>
      <c r="F7" s="1050" t="inlineStr">
        <is>
          <t>Total</t>
        </is>
      </c>
      <c r="H7" s="1046" t="inlineStr">
        <is>
          <t>,</t>
        </is>
      </c>
    </row>
    <row r="8" ht="33" customHeight="1" s="862">
      <c r="A8" s="1051" t="n">
        <v>1</v>
      </c>
      <c r="B8" s="1052" t="inlineStr">
        <is>
          <t>Table1, P1 | SERVICE ENGINEER RIG SITE</t>
        </is>
      </c>
      <c r="C8" s="1053" t="n"/>
      <c r="D8" s="1054" t="n">
        <v>1124</v>
      </c>
      <c r="E8" s="1055" t="n">
        <v>8</v>
      </c>
      <c r="F8" s="1056">
        <f>D8*E8</f>
        <v/>
      </c>
    </row>
    <row r="9" ht="33" customHeight="1" s="862">
      <c r="A9" s="1051" t="n">
        <v>2</v>
      </c>
      <c r="B9" s="1052" t="inlineStr">
        <is>
          <t>Table15, S1 | SUB ASSEMBLY MAKE UP</t>
        </is>
      </c>
      <c r="C9" s="1053" t="n"/>
      <c r="D9" s="1054" t="n">
        <v>9384.379999999999</v>
      </c>
      <c r="E9" s="1055" t="n">
        <v>1</v>
      </c>
      <c r="F9" s="1056">
        <f>D9*E9</f>
        <v/>
      </c>
    </row>
    <row r="10" ht="33" customHeight="1" s="862">
      <c r="A10" s="1051" t="n">
        <v>3</v>
      </c>
      <c r="B10" s="1052" t="inlineStr">
        <is>
          <t>Table15, S2 | ASSEMBLY PRESSURE TEST</t>
        </is>
      </c>
      <c r="C10" s="1053" t="n"/>
      <c r="D10" s="1054" t="n">
        <v>4933.5</v>
      </c>
      <c r="E10" s="1055" t="n">
        <v>1</v>
      </c>
      <c r="F10" s="1056">
        <f>D10*E10</f>
        <v/>
      </c>
    </row>
    <row r="11" ht="33" customHeight="1" s="862">
      <c r="A11" s="1051" t="n">
        <v>4</v>
      </c>
      <c r="B11" s="1052" t="inlineStr">
        <is>
          <t>Table15, S3 | TRANSPORTATION</t>
        </is>
      </c>
      <c r="C11" s="1053" t="n"/>
      <c r="D11" s="1054" t="n">
        <v>3289</v>
      </c>
      <c r="E11" s="1055" t="n">
        <v>1</v>
      </c>
      <c r="F11" s="1056">
        <f>D11*E11</f>
        <v/>
      </c>
    </row>
    <row r="12" ht="33" customHeight="1" s="862">
      <c r="A12" s="1051" t="n">
        <v>5</v>
      </c>
      <c r="B12" s="1052" t="inlineStr">
        <is>
          <t>Table15, S4 | RUNNING/INSTALLATION SERV.</t>
        </is>
      </c>
      <c r="C12" s="1053" t="n"/>
      <c r="D12" s="1054" t="n">
        <v>14550.25</v>
      </c>
      <c r="E12" s="1055" t="n">
        <v>1</v>
      </c>
      <c r="F12" s="1056">
        <f>D12*E12</f>
        <v/>
      </c>
    </row>
    <row r="13" ht="33" customHeight="1" s="862">
      <c r="A13" s="1051" t="n">
        <v>6</v>
      </c>
      <c r="B13" s="1052" t="inlineStr">
        <is>
          <t>Table6, A24 | PIP TAG</t>
        </is>
      </c>
      <c r="C13" s="1053" t="n"/>
      <c r="D13" s="1054" t="n">
        <v>12600</v>
      </c>
      <c r="E13" s="1055" t="n">
        <v>1</v>
      </c>
      <c r="F13" s="1056">
        <f>D13*E13</f>
        <v/>
      </c>
    </row>
    <row r="14" ht="33" customHeight="1" s="862">
      <c r="A14" s="1057" t="n"/>
      <c r="B14" s="1058" t="n"/>
      <c r="C14" s="981" t="n"/>
      <c r="D14" s="1059" t="n"/>
      <c r="E14" s="1060" t="n"/>
      <c r="F14" s="1061" t="n"/>
    </row>
    <row r="15" ht="19.5" customHeight="1" s="862">
      <c r="A15" s="1062" t="inlineStr">
        <is>
          <t>DS Signature and Stamp                                       Weatherford Service Eng.</t>
        </is>
      </c>
      <c r="B15" s="994" t="n"/>
      <c r="C15" s="995" t="n"/>
      <c r="D15" s="1063" t="inlineStr">
        <is>
          <t>Gross Value $</t>
        </is>
      </c>
      <c r="E15" s="981" t="n"/>
      <c r="F15" s="1064">
        <f>SUM(F8:F13)</f>
        <v/>
      </c>
    </row>
    <row r="16" ht="19.5" customHeight="1" s="862">
      <c r="A16" s="1004" t="n"/>
      <c r="B16" s="1005" t="n"/>
      <c r="C16" s="1006" t="n"/>
      <c r="D16" s="1063" t="n"/>
      <c r="E16" s="981" t="n"/>
      <c r="F16" s="1064" t="n"/>
    </row>
    <row r="17" ht="19.5" customHeight="1" s="862">
      <c r="A17" s="993" t="n"/>
      <c r="B17" s="1065" t="n"/>
      <c r="C17" s="1066" t="n"/>
      <c r="D17" s="1067" t="inlineStr">
        <is>
          <t>Net Invoice Value $</t>
        </is>
      </c>
      <c r="E17" s="1068" t="n"/>
      <c r="F17" s="1069">
        <f>F16+F15</f>
        <v/>
      </c>
    </row>
    <row r="18" ht="13.5" customHeight="1" s="862">
      <c r="C18" s="1070" t="n"/>
      <c r="F18" s="1071" t="n"/>
    </row>
    <row r="19" ht="13.5" customHeight="1" s="862">
      <c r="F19" s="1071" t="n"/>
    </row>
    <row r="20" ht="13.5" customHeight="1" s="862">
      <c r="F20" s="1071"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40" zoomScaleNormal="70" zoomScalePageLayoutView="140" workbookViewId="0">
      <selection pane="topLeft" activeCell="G17" activeCellId="0" sqref="A11:S69"/>
    </sheetView>
  </sheetViews>
  <sheetFormatPr baseColWidth="8" defaultColWidth="9.11328125" defaultRowHeight="14.25" customHeight="0" zeroHeight="0" outlineLevelRow="0"/>
  <cols>
    <col width="2.11" customWidth="1" style="910" min="1" max="1"/>
    <col width="14" customWidth="1" style="910" min="2" max="2"/>
    <col width="22.44" customWidth="1" style="910" min="3" max="3"/>
    <col width="39.11" customWidth="1" style="910" min="4" max="4"/>
    <col width="8.67" customWidth="1" style="910" min="5" max="5"/>
    <col width="9.56" customWidth="1" style="910" min="6" max="6"/>
    <col width="32.45" customWidth="1" style="910" min="7" max="7"/>
    <col width="35.33" customWidth="1" style="910" min="8" max="8"/>
    <col width="17" customWidth="1" style="910" min="9" max="9"/>
    <col width="0.33" customWidth="1" style="910" min="11" max="11"/>
  </cols>
  <sheetData>
    <row r="1" ht="4.5" customHeight="1" s="862"/>
    <row r="2" ht="15" customHeight="1" s="862">
      <c r="B2" s="1072" t="inlineStr">
        <is>
          <t>ADNOC</t>
        </is>
      </c>
      <c r="C2" s="1033" t="n"/>
      <c r="D2" s="1033" t="n"/>
      <c r="E2" s="1073" t="n"/>
      <c r="F2" s="1074" t="inlineStr">
        <is>
          <t xml:space="preserve">Doc No: FO-ADC-DMET-COMP-Rev1 </t>
        </is>
      </c>
      <c r="G2" s="1073" t="n"/>
      <c r="H2" s="1074" t="inlineStr">
        <is>
          <t>Doc Owner: ADNOC DMET TEAM</t>
        </is>
      </c>
      <c r="I2" s="1075" t="n"/>
    </row>
    <row r="3" ht="15" customHeight="1" s="862">
      <c r="B3" s="1076" t="inlineStr">
        <is>
          <t xml:space="preserve"> KEY PERFORMANCE INDICTOR " KPI"</t>
        </is>
      </c>
      <c r="C3" s="897" t="n"/>
      <c r="D3" s="897" t="n"/>
      <c r="E3" s="897" t="n"/>
      <c r="F3" s="910" t="inlineStr">
        <is>
          <t>CONTRACTORS PEFORMANCE TRAKER / JOB EVALUATION</t>
        </is>
      </c>
      <c r="G3" s="1077" t="n"/>
      <c r="H3" s="1078" t="n"/>
      <c r="I3" s="1079" t="n"/>
    </row>
    <row r="4" ht="15" customHeight="1" s="862">
      <c r="B4" s="1080" t="inlineStr">
        <is>
          <t>Job Type :</t>
        </is>
      </c>
      <c r="C4" s="872" t="n"/>
      <c r="D4" s="1081">
        <f>'Master Data'!E4</f>
        <v/>
      </c>
      <c r="E4" s="1082" t="inlineStr">
        <is>
          <t xml:space="preserve">Job Completed Scussfuly </t>
        </is>
      </c>
      <c r="F4" s="1037" t="n"/>
      <c r="G4" s="1083" t="inlineStr">
        <is>
          <t>Service Provider :</t>
        </is>
      </c>
      <c r="H4" s="921">
        <f>'Master Data'!B18</f>
        <v/>
      </c>
      <c r="I4" s="1079" t="n"/>
    </row>
    <row r="5" ht="14.25" customHeight="1" s="862">
      <c r="B5" s="1080" t="inlineStr">
        <is>
          <t>Rig Name :</t>
        </is>
      </c>
      <c r="C5" s="872" t="n"/>
      <c r="D5" s="1081">
        <f>'Master Data'!E11</f>
        <v/>
      </c>
      <c r="E5" s="1084" t="n"/>
      <c r="F5" s="975" t="n"/>
      <c r="G5" s="1085" t="inlineStr">
        <is>
          <t>Contractor's Rep. Lead :</t>
        </is>
      </c>
      <c r="H5" s="921">
        <f>'Master Data'!B21</f>
        <v/>
      </c>
      <c r="I5" s="1079" t="n"/>
    </row>
    <row r="6" ht="15" customHeight="1" s="862">
      <c r="B6" s="1080" t="inlineStr">
        <is>
          <t>Well No:</t>
        </is>
      </c>
      <c r="C6" s="872" t="n"/>
      <c r="D6" s="1081">
        <f>'Master Data'!E10</f>
        <v/>
      </c>
      <c r="E6" s="1084" t="n"/>
      <c r="F6" s="975" t="n"/>
      <c r="G6" s="1083" t="inlineStr">
        <is>
          <t>Crew 1</t>
        </is>
      </c>
      <c r="H6" s="921">
        <f>'Master Data'!H4</f>
        <v/>
      </c>
      <c r="I6" s="1079" t="n"/>
    </row>
    <row r="7" ht="14.25" customHeight="1" s="862">
      <c r="B7" s="1080" t="inlineStr">
        <is>
          <t>ADNOC Rep. :</t>
        </is>
      </c>
      <c r="C7" s="872" t="n"/>
      <c r="D7" s="1081">
        <f>'Master Data'!B4</f>
        <v/>
      </c>
      <c r="E7" s="1084" t="n"/>
      <c r="F7" s="975" t="n"/>
      <c r="G7" s="1083" t="inlineStr">
        <is>
          <t>Crew 2</t>
        </is>
      </c>
      <c r="H7" s="1086">
        <f>'Master Data'!H8</f>
        <v/>
      </c>
      <c r="I7" s="1079" t="n"/>
    </row>
    <row r="8" ht="15" customHeight="1" s="862">
      <c r="B8" s="1080" t="inlineStr">
        <is>
          <t xml:space="preserve">Job Duration </t>
        </is>
      </c>
      <c r="C8" s="872" t="n"/>
      <c r="D8" s="1087">
        <f>ROUNDUP(INT('Master Data'!E15)-INT('Master Data'!E12),0)+1&amp;" days"</f>
        <v/>
      </c>
      <c r="E8" s="1084" t="n"/>
      <c r="F8" s="975" t="n"/>
      <c r="G8" s="1083" t="inlineStr">
        <is>
          <t>Crew 3</t>
        </is>
      </c>
      <c r="H8" s="1086">
        <f>'Master Data'!H10</f>
        <v/>
      </c>
      <c r="I8" s="1088" t="inlineStr">
        <is>
          <t xml:space="preserve">Date </t>
        </is>
      </c>
    </row>
    <row r="9" ht="14.25" customHeight="1" s="862">
      <c r="B9" s="1089" t="inlineStr">
        <is>
          <t>Period from / to (Date):</t>
        </is>
      </c>
      <c r="C9" s="888" t="n"/>
      <c r="D9" s="1090">
        <f>"from "&amp;TEXT('Master Data'!E12,"dd/mmm/yy")&amp;"  to "&amp;TEXT('Master Data'!E15,"dd/mmm/yy")</f>
        <v/>
      </c>
      <c r="E9" s="998" t="n"/>
      <c r="F9" s="1045" t="n"/>
      <c r="G9" s="1091" t="inlineStr">
        <is>
          <t>Crew 4</t>
        </is>
      </c>
      <c r="H9" s="1086">
        <f>'Master Data'!H11</f>
        <v/>
      </c>
      <c r="I9" s="1092">
        <f>I44</f>
        <v/>
      </c>
    </row>
    <row r="10" ht="17.25" customHeight="1" s="862">
      <c r="B10" s="1093" t="inlineStr">
        <is>
          <t>Contract Service Operation Execution KPIs</t>
        </is>
      </c>
      <c r="C10" s="942" t="n"/>
      <c r="D10" s="942" t="n"/>
      <c r="E10" s="1094" t="inlineStr">
        <is>
          <t xml:space="preserve">Yes </t>
        </is>
      </c>
      <c r="F10" s="1095" t="inlineStr">
        <is>
          <t xml:space="preserve">No </t>
        </is>
      </c>
      <c r="G10" s="1096" t="n"/>
      <c r="H10" s="870" t="n"/>
      <c r="I10" s="1097" t="n"/>
    </row>
    <row r="11" ht="6" customHeight="1" s="862">
      <c r="B11" s="1098" t="n"/>
      <c r="C11" s="1099" t="n"/>
      <c r="D11" s="1099" t="n"/>
      <c r="E11" s="1100" t="n"/>
      <c r="F11" s="1100" t="n"/>
      <c r="G11" s="1099" t="n"/>
      <c r="H11" s="1099" t="n"/>
      <c r="I11" s="1101" t="n"/>
    </row>
    <row r="12" ht="15" customHeight="1" s="862">
      <c r="B12" s="1102" t="inlineStr">
        <is>
          <t>A) Pre- Job Documentation .</t>
        </is>
      </c>
      <c r="C12" s="875" t="n"/>
      <c r="D12" s="875" t="n"/>
      <c r="E12" s="1103" t="n"/>
      <c r="F12" s="1103" t="n"/>
      <c r="G12" s="1104" t="inlineStr">
        <is>
          <t xml:space="preserve">Comments </t>
        </is>
      </c>
      <c r="H12" s="898" t="n"/>
      <c r="I12" s="1105" t="inlineStr">
        <is>
          <t xml:space="preserve">Scoring </t>
        </is>
      </c>
    </row>
    <row r="13" ht="60" customHeight="1" s="862">
      <c r="B13" s="1106" t="inlineStr">
        <is>
          <t>1. Engineer Has the latest revision of well program detailing job procedures &amp; design , which communicated to the ADNOC completion engineer &amp; has  the job packet including the well calculation / Simulation ,Sub Assembly Report  etc. ? .</t>
        </is>
      </c>
      <c r="C13" s="875" t="n"/>
      <c r="D13" s="872" t="n"/>
      <c r="E13" s="1107" t="n"/>
      <c r="F13" s="1107" t="n"/>
      <c r="G13" s="1108" t="n"/>
      <c r="H13" s="875" t="n"/>
      <c r="I13" s="1109" t="n">
        <v>0.2</v>
      </c>
      <c r="K13" s="1110" t="n">
        <v>0.07000000000000001</v>
      </c>
    </row>
    <row r="14" ht="54" customHeight="1" s="862">
      <c r="B14" s="1106" t="inlineStr">
        <is>
          <t>2. Engineers conducted Pre-Job meeting with Technical Rep / Operation Support reviews the completion design in town &amp; have the contingency plan  in place ?</t>
        </is>
      </c>
      <c r="C14" s="875" t="n"/>
      <c r="D14" s="872" t="n"/>
      <c r="E14" s="921" t="n"/>
      <c r="F14" s="1111" t="n"/>
      <c r="G14" s="1108" t="n"/>
      <c r="H14" s="875" t="n"/>
      <c r="I14" s="1112" t="n"/>
      <c r="K14" s="1110" t="n">
        <v>0.07000000000000001</v>
      </c>
    </row>
    <row r="15" ht="30" customHeight="1" s="862">
      <c r="B15" s="1106" t="inlineStr">
        <is>
          <t>3. Engineer Has the agreed Risk Analysis "RA/JSA" identifying each step of the operations ?</t>
        </is>
      </c>
      <c r="C15" s="875" t="n"/>
      <c r="D15" s="872" t="n"/>
      <c r="E15" s="921" t="n"/>
      <c r="F15" s="1111" t="n"/>
      <c r="G15" s="1108" t="n"/>
      <c r="H15" s="875" t="n"/>
      <c r="I15" s="1113" t="n"/>
      <c r="K15" s="1110" t="n">
        <v>0.06</v>
      </c>
    </row>
    <row r="16" ht="15" customHeight="1" s="862">
      <c r="B16" s="1114" t="inlineStr">
        <is>
          <t xml:space="preserve">B) On site Delivered Equipment's  Check .          </t>
        </is>
      </c>
      <c r="C16" s="875" t="n"/>
      <c r="D16" s="875" t="n"/>
      <c r="E16" s="875" t="n"/>
      <c r="F16" s="875" t="n"/>
      <c r="G16" s="875" t="n"/>
      <c r="H16" s="875" t="n"/>
      <c r="I16" s="876" t="n"/>
      <c r="K16" s="1110" t="n"/>
    </row>
    <row r="17" ht="51" customHeight="1" s="862">
      <c r="B17" s="1106" t="inlineStr">
        <is>
          <t>1. Equipment's delivered on time   with correct signed documentation  &amp; all in good condition including back up assembly , service tool , baskets, spoolers, pumps, toolbox , if there's any issue, did the engineer report on time ?.</t>
        </is>
      </c>
      <c r="C17" s="875" t="n"/>
      <c r="D17" s="872" t="n"/>
      <c r="E17" s="921" t="n"/>
      <c r="F17" s="1111" t="n"/>
      <c r="G17" s="1108" t="n"/>
      <c r="H17" s="875" t="n"/>
      <c r="I17" s="1109" t="n">
        <v>0.15</v>
      </c>
      <c r="K17" s="1110" t="n">
        <v>0.08</v>
      </c>
    </row>
    <row r="18" ht="46.5" customHeight="1" s="862">
      <c r="B18" s="1106" t="inlineStr">
        <is>
          <t xml:space="preserve">2. Pre-load out checklist completed (to include maintenance records, and certifications) and the engineer physically checked the offloaded material and lay it out probably for inspection on time ? </t>
        </is>
      </c>
      <c r="C18" s="875" t="n"/>
      <c r="D18" s="872" t="n"/>
      <c r="E18" s="921" t="n"/>
      <c r="F18" s="1111" t="n"/>
      <c r="G18" s="1108" t="n"/>
      <c r="H18" s="875" t="n"/>
      <c r="I18" s="1113" t="n"/>
      <c r="K18" s="1110" t="n">
        <v>0.07000000000000001</v>
      </c>
    </row>
    <row r="19" ht="15" customHeight="1" s="862">
      <c r="B19" s="1114" t="inlineStr">
        <is>
          <t xml:space="preserve">C)  On site Preparation efficiencies </t>
        </is>
      </c>
      <c r="C19" s="875" t="n"/>
      <c r="D19" s="875" t="n"/>
      <c r="E19" s="875" t="n"/>
      <c r="F19" s="875" t="n"/>
      <c r="G19" s="875" t="n"/>
      <c r="H19" s="875" t="n"/>
      <c r="I19" s="876" t="n"/>
      <c r="K19" s="1110" t="n"/>
    </row>
    <row r="20" ht="60" customHeight="1" s="862">
      <c r="B20" s="1106" t="inlineStr">
        <is>
          <t>1. Did the Engineer Discussed the Well Operations with drilling supervisors , checked and confirmed well information and configuration  , calculated Tally and checked all equipment's /Accessories required for the Job ?</t>
        </is>
      </c>
      <c r="C20" s="875" t="n"/>
      <c r="D20" s="872" t="n"/>
      <c r="E20" s="921" t="n"/>
      <c r="F20" s="1115" t="n"/>
      <c r="G20" s="1108" t="n"/>
      <c r="H20" s="875" t="n"/>
      <c r="I20" s="1109" t="n">
        <v>0.15</v>
      </c>
      <c r="K20" s="1110" t="n">
        <v>0.08</v>
      </c>
    </row>
    <row r="21" ht="62.25" customHeight="1" s="862">
      <c r="B21" s="1116" t="inlineStr">
        <is>
          <t>2. Did the Engineer conduct Pre Job Briefing with rig crew , TRS, Slick line , WH etc. identifying all safety critical points &amp; explain the  critical steps &amp; agreed about all parties interfaces, tasks ,responsibility ?</t>
        </is>
      </c>
      <c r="C21" s="875" t="n"/>
      <c r="D21" s="872" t="n"/>
      <c r="E21" s="921" t="n"/>
      <c r="F21" s="1115" t="n"/>
      <c r="G21" s="1108" t="n"/>
      <c r="H21" s="875" t="n"/>
      <c r="I21" s="1113" t="n"/>
      <c r="K21" s="1110" t="n">
        <v>0.07000000000000001</v>
      </c>
    </row>
    <row r="22" ht="15" customHeight="1" s="862">
      <c r="B22" s="1114" t="inlineStr">
        <is>
          <t xml:space="preserve">D)  Job Executing </t>
        </is>
      </c>
      <c r="C22" s="875" t="n"/>
      <c r="D22" s="875" t="n"/>
      <c r="E22" s="875" t="n"/>
      <c r="F22" s="875" t="n"/>
      <c r="G22" s="875" t="n"/>
      <c r="H22" s="875" t="n"/>
      <c r="I22" s="876" t="n"/>
      <c r="K22" s="1110" t="n"/>
    </row>
    <row r="23" ht="28.5" customHeight="1" s="862">
      <c r="B23" s="1106" t="inlineStr">
        <is>
          <t>1. Are the Equipment in good Condition .</t>
        </is>
      </c>
      <c r="C23" s="875" t="n"/>
      <c r="D23" s="872" t="n"/>
      <c r="E23" s="921" t="n"/>
      <c r="F23" s="1115" t="n"/>
      <c r="G23" s="1108" t="n"/>
      <c r="H23" s="875" t="n"/>
      <c r="I23" s="1117" t="n">
        <v>0.3</v>
      </c>
      <c r="K23" s="1110" t="n">
        <v>0.03</v>
      </c>
    </row>
    <row r="24" ht="28.5" customHeight="1" s="862">
      <c r="B24" s="1106" t="inlineStr">
        <is>
          <t>2. Are the equipment Operational performed as expected .</t>
        </is>
      </c>
      <c r="C24" s="875" t="n"/>
      <c r="D24" s="872" t="n"/>
      <c r="E24" s="921" t="n"/>
      <c r="F24" s="1115" t="n"/>
      <c r="G24" s="1108" t="n"/>
      <c r="H24" s="875" t="n"/>
      <c r="I24" s="1118" t="n"/>
      <c r="K24" s="1110" t="n">
        <v>0.03</v>
      </c>
    </row>
    <row r="25" ht="49.5" customHeight="1" s="862">
      <c r="B25" s="1106" t="inlineStr">
        <is>
          <t>3. Are the successfully installed equipment has performed without any troubleshooting or any interventions?
 If there’s any issue please write details in the comments.</t>
        </is>
      </c>
      <c r="C25" s="875" t="n"/>
      <c r="D25" s="872" t="n"/>
      <c r="E25" s="921" t="n"/>
      <c r="F25" s="1115" t="n"/>
      <c r="G25" s="1108" t="n"/>
      <c r="H25" s="875" t="n"/>
      <c r="I25" s="1118" t="n"/>
      <c r="K25" s="1110" t="n">
        <v>0.03</v>
      </c>
    </row>
    <row r="26" ht="28.5" customHeight="1" s="862">
      <c r="B26" s="1106" t="inlineStr">
        <is>
          <t xml:space="preserve">4. Are all the service Equipment’s such as Running Tools , Spoolers , DTS Surface Monitoring system Etc. performed as Expected ? </t>
        </is>
      </c>
      <c r="C26" s="875" t="n"/>
      <c r="D26" s="872" t="n"/>
      <c r="E26" s="921" t="n"/>
      <c r="F26" s="1115" t="n"/>
      <c r="G26" s="1119" t="n"/>
      <c r="H26" s="875" t="n"/>
      <c r="I26" s="1118" t="n"/>
      <c r="K26" s="1110" t="n">
        <v>0.03</v>
      </c>
    </row>
    <row r="27" ht="28.5" customHeight="1" s="862">
      <c r="B27" s="1106" t="inlineStr">
        <is>
          <t>5. Do service personnel meet the level of competence required for the operation they will be preform ?</t>
        </is>
      </c>
      <c r="C27" s="875" t="n"/>
      <c r="D27" s="872" t="n"/>
      <c r="E27" s="921" t="n"/>
      <c r="F27" s="1115" t="n"/>
      <c r="G27" s="1120" t="n"/>
      <c r="H27" s="875" t="n"/>
      <c r="I27" s="1118" t="n"/>
      <c r="K27" s="1110" t="n">
        <v>0.02</v>
      </c>
    </row>
    <row r="28" ht="19.5" customHeight="1" s="862">
      <c r="B28" s="1106" t="inlineStr">
        <is>
          <t>6.Engineer Communication Skills and Attitude .</t>
        </is>
      </c>
      <c r="C28" s="875" t="n"/>
      <c r="D28" s="872" t="n"/>
      <c r="E28" s="921" t="n"/>
      <c r="F28" s="1115" t="n"/>
      <c r="G28" s="1108" t="n"/>
      <c r="H28" s="875" t="n"/>
      <c r="I28" s="1118" t="n"/>
      <c r="K28" s="1110" t="n">
        <v>0.02</v>
      </c>
    </row>
    <row r="29" ht="44.25" customHeight="1" s="862">
      <c r="B29" s="1106" t="inlineStr">
        <is>
          <t>7.Dose service specialist understands the job can be stopped if operational or HSE issue is noticed and adherence to HSE , Participate in ADNOC HSE System  ?</t>
        </is>
      </c>
      <c r="C29" s="875" t="n"/>
      <c r="D29" s="872" t="n"/>
      <c r="E29" s="921" t="n"/>
      <c r="F29" s="1115" t="n"/>
      <c r="G29" s="1108" t="n"/>
      <c r="H29" s="875" t="n"/>
      <c r="I29" s="1118" t="n"/>
      <c r="K29" s="1110" t="n">
        <v>0.02</v>
      </c>
    </row>
    <row r="30" ht="35.25" customHeight="1" s="862">
      <c r="B30" s="1106" t="inlineStr">
        <is>
          <t xml:space="preserve">8.Does service specialist have hand carry consumable items such as Redress kit Fitting and his own hand tools . </t>
        </is>
      </c>
      <c r="C30" s="875" t="n"/>
      <c r="D30" s="872" t="n"/>
      <c r="E30" s="921" t="n"/>
      <c r="F30" s="1115" t="n"/>
      <c r="G30" s="1108" t="n"/>
      <c r="H30" s="875" t="n"/>
      <c r="I30" s="1118" t="n"/>
      <c r="K30" s="1110" t="n">
        <v>0.02</v>
      </c>
    </row>
    <row r="31" ht="33.75" customHeight="1" s="862">
      <c r="B31" s="1106" t="inlineStr">
        <is>
          <t>9.dose the Engineer Complete job and coordinate equipment rig down ensuring all equipment requiring maintenance is identified, and report if any issue ?</t>
        </is>
      </c>
      <c r="C31" s="875" t="n"/>
      <c r="D31" s="872" t="n"/>
      <c r="E31" s="921" t="n"/>
      <c r="F31" s="1115" t="n"/>
      <c r="G31" s="1108" t="n"/>
      <c r="H31" s="875" t="n"/>
      <c r="I31" s="1118" t="n"/>
      <c r="K31" s="1110" t="n">
        <v>0.02</v>
      </c>
    </row>
    <row r="32" ht="61.5" customHeight="1" s="862">
      <c r="B32" s="1106" t="inlineStr">
        <is>
          <t>10.Determine where equipment is to be sent, advise relevant personnel and complete required shipping documents/manifest, as applicable. Securely package equipment ensuring it is environmentally safe and ready for transportation on timely manner ?</t>
        </is>
      </c>
      <c r="C32" s="875" t="n"/>
      <c r="D32" s="872" t="n"/>
      <c r="E32" s="921" t="n"/>
      <c r="F32" s="1115" t="n"/>
      <c r="G32" s="1108" t="n"/>
      <c r="H32" s="875" t="n"/>
      <c r="I32" s="1118" t="n"/>
      <c r="K32" s="1110" t="n">
        <v>0.02</v>
      </c>
    </row>
    <row r="33" ht="30.75" customHeight="1" s="862">
      <c r="B33" s="1106" t="inlineStr">
        <is>
          <t>11.Complete location EOWR  and field tickets  accurately and provide relevant documents to ADNOC Rep .</t>
        </is>
      </c>
      <c r="C33" s="875" t="n"/>
      <c r="D33" s="872" t="n"/>
      <c r="E33" s="921" t="n"/>
      <c r="F33" s="1115" t="n"/>
      <c r="G33" s="1120" t="n"/>
      <c r="H33" s="875" t="n"/>
      <c r="I33" s="1118" t="n"/>
      <c r="K33" s="1110" t="n">
        <v>0.02</v>
      </c>
    </row>
    <row r="34" ht="36" customHeight="1" s="862">
      <c r="B34" s="1106" t="inlineStr">
        <is>
          <t xml:space="preserve">12.dose the Engineer Identify Lesson Learned (if Applicable  )and added to the Report and share it on the Morning call. </t>
        </is>
      </c>
      <c r="C34" s="875" t="n"/>
      <c r="D34" s="872" t="n"/>
      <c r="E34" s="921" t="n"/>
      <c r="F34" s="1115" t="n"/>
      <c r="G34" s="1120" t="n"/>
      <c r="H34" s="875" t="n"/>
      <c r="I34" s="1118" t="n"/>
      <c r="K34" s="1110" t="n">
        <v>0.02</v>
      </c>
    </row>
    <row r="35" ht="15" customHeight="1" s="862">
      <c r="B35" s="1106" t="inlineStr">
        <is>
          <t>13. House Keeping After the Job ?</t>
        </is>
      </c>
      <c r="C35" s="875" t="n"/>
      <c r="D35" s="872" t="n"/>
      <c r="E35" s="921" t="n"/>
      <c r="F35" s="1115" t="n"/>
      <c r="G35" s="1120" t="n"/>
      <c r="H35" s="875" t="n"/>
      <c r="I35" s="1121" t="n"/>
      <c r="K35" s="1110" t="n">
        <v>0.02</v>
      </c>
    </row>
    <row r="36" ht="14.25" customHeight="1" s="862">
      <c r="B36" s="1106" t="n"/>
      <c r="C36" s="875" t="n"/>
      <c r="D36" s="872" t="n"/>
      <c r="E36" s="921" t="n"/>
      <c r="F36" s="1122" t="n"/>
      <c r="G36" s="1108" t="n"/>
      <c r="H36" s="875" t="n"/>
      <c r="I36" s="1123" t="n"/>
    </row>
    <row r="37" ht="17.25" customHeight="1" s="862">
      <c r="B37" s="1124" t="inlineStr">
        <is>
          <t xml:space="preserve">Vendor Delivery KPIs (Total Score)                  </t>
        </is>
      </c>
      <c r="C37" s="866" t="n"/>
      <c r="D37" s="867" t="n"/>
      <c r="E37" s="1125" t="n"/>
      <c r="F37" s="866" t="n"/>
      <c r="G37" s="1126" t="n"/>
      <c r="H37" s="867" t="n"/>
      <c r="I37" s="1127" t="n"/>
    </row>
    <row r="38" ht="6.75" customHeight="1" s="862">
      <c r="F38" s="1128" t="n"/>
      <c r="G38" s="1129" t="n"/>
      <c r="H38" s="1129" t="n"/>
    </row>
    <row r="39" ht="23.25" customHeight="1" s="862">
      <c r="B39" s="1130" t="inlineStr">
        <is>
          <t>ADDITIONAL COMMENTS :-</t>
        </is>
      </c>
      <c r="C39" s="870" t="n"/>
      <c r="D39" s="1131" t="n"/>
      <c r="E39" s="942" t="n"/>
      <c r="F39" s="942" t="n"/>
      <c r="G39" s="942" t="n"/>
      <c r="H39" s="942" t="n"/>
      <c r="I39" s="1132" t="n"/>
    </row>
    <row r="40" ht="26.25" customHeight="1" s="862">
      <c r="B40" s="1133" t="n"/>
      <c r="C40" s="875" t="n"/>
      <c r="D40" s="875" t="n"/>
      <c r="E40" s="875" t="n"/>
      <c r="F40" s="875" t="n"/>
      <c r="G40" s="875" t="n"/>
      <c r="H40" s="875" t="n"/>
      <c r="I40" s="876" t="n"/>
    </row>
    <row r="41" ht="24.75" customHeight="1" s="862">
      <c r="B41" s="1134" t="n"/>
      <c r="C41" s="892" t="n"/>
      <c r="D41" s="892" t="n"/>
      <c r="E41" s="892" t="n"/>
      <c r="F41" s="892" t="n"/>
      <c r="G41" s="892" t="n"/>
      <c r="H41" s="892" t="n"/>
      <c r="I41" s="893" t="n"/>
    </row>
    <row r="42" ht="15.75" customHeight="1" s="862">
      <c r="B42" s="1135" t="inlineStr">
        <is>
          <t>Lesson Learned / Improvements</t>
        </is>
      </c>
      <c r="C42" s="1136" t="n"/>
      <c r="D42" s="1137" t="inlineStr">
        <is>
          <t>Recommendations</t>
        </is>
      </c>
      <c r="F42" s="975" t="n"/>
      <c r="G42" s="1138" t="inlineStr">
        <is>
          <t xml:space="preserve">Name </t>
        </is>
      </c>
      <c r="H42" s="1138" t="inlineStr">
        <is>
          <t>Signature</t>
        </is>
      </c>
      <c r="I42" s="1139" t="inlineStr">
        <is>
          <t>Date</t>
        </is>
      </c>
    </row>
    <row r="43" ht="14.25" customHeight="1" s="862">
      <c r="B43" s="1084" t="n"/>
      <c r="C43" s="1136" t="n"/>
      <c r="D43" s="1140" t="n"/>
      <c r="F43" s="975" t="n"/>
      <c r="G43" s="1103" t="n"/>
      <c r="H43" s="1103" t="n"/>
      <c r="I43" s="1103" t="n"/>
    </row>
    <row r="44" ht="14.25" customHeight="1" s="862">
      <c r="B44" s="1141" t="n"/>
      <c r="C44" s="1142" t="n"/>
      <c r="D44" s="1143" t="n"/>
      <c r="E44" s="1033" t="n"/>
      <c r="F44" s="1037" t="n"/>
      <c r="G44" s="1144" t="inlineStr">
        <is>
          <t>ADNOC Rep.</t>
        </is>
      </c>
      <c r="H44" s="1145" t="n"/>
      <c r="I44" s="1146">
        <f>'Master Data'!E24</f>
        <v/>
      </c>
    </row>
    <row r="45" ht="14.25" customHeight="1" s="862">
      <c r="B45" s="1147" t="n"/>
      <c r="C45" s="898" t="n"/>
      <c r="D45" s="1140" t="n"/>
      <c r="F45" s="975" t="n"/>
      <c r="G45" s="1147" t="n"/>
      <c r="H45" s="1148" t="n"/>
      <c r="I45" s="1121" t="n"/>
    </row>
    <row r="46" ht="15" customHeight="1" s="862">
      <c r="B46" s="1089" t="n"/>
      <c r="C46" s="950" t="n"/>
      <c r="D46" s="1149" t="n"/>
      <c r="E46" s="949" t="n"/>
      <c r="F46" s="1150" t="n"/>
      <c r="G46" s="1151" t="inlineStr">
        <is>
          <t xml:space="preserve">Contractor Rep . </t>
        </is>
      </c>
      <c r="H46" s="1145" t="n"/>
      <c r="I46" s="1146">
        <f>'Master Data'!E24</f>
        <v/>
      </c>
    </row>
    <row r="47" ht="14.25" customHeight="1" s="862">
      <c r="B47" s="998" t="n"/>
      <c r="C47" s="1152" t="n"/>
      <c r="D47" s="1153" t="n"/>
      <c r="E47" s="997" t="n"/>
      <c r="F47" s="1045" t="n"/>
      <c r="G47" s="900" t="n"/>
      <c r="H47" s="1148" t="n"/>
      <c r="I47" s="1121" t="n"/>
    </row>
    <row r="48" ht="14.25" customHeight="1" s="862">
      <c r="B48" s="1154" t="n"/>
      <c r="D48" s="910" t="n"/>
      <c r="E48" s="910" t="n"/>
      <c r="F48" s="1128" t="n"/>
      <c r="G48" s="1155" t="n"/>
      <c r="H48" s="1033" t="n"/>
      <c r="I48" s="1033" t="n"/>
    </row>
    <row r="49" ht="14.25" customHeight="1" s="862">
      <c r="G49" s="1156" t="n"/>
      <c r="H49" s="1156" t="n"/>
    </row>
    <row r="50" ht="14.25" customHeight="1" s="862">
      <c r="F50" s="1128" t="n"/>
      <c r="G50" s="1129" t="n"/>
      <c r="H50" s="1129" t="n"/>
    </row>
    <row r="51" ht="14.25" customHeight="1" s="862">
      <c r="F51" s="1128" t="n"/>
      <c r="G51" s="1129" t="n"/>
      <c r="H51" s="1129" t="n"/>
    </row>
    <row r="52" ht="14.25" customHeight="1" s="862">
      <c r="F52" s="1128" t="n"/>
      <c r="G52" s="1129" t="n"/>
      <c r="H52" s="1129" t="n"/>
    </row>
    <row r="53" ht="14.25" customHeight="1" s="862">
      <c r="F53" s="1128" t="n"/>
      <c r="G53" s="1129" t="n"/>
      <c r="H53" s="1129" t="n"/>
    </row>
    <row r="54" ht="14.25" customHeight="1" s="862">
      <c r="F54" s="1128" t="n"/>
      <c r="G54" s="1129" t="n"/>
      <c r="H54" s="1129" t="n"/>
    </row>
    <row r="55" ht="14.25" customHeight="1" s="862">
      <c r="F55" s="1128" t="n"/>
      <c r="G55" s="1129" t="n"/>
      <c r="H55" s="1129" t="n"/>
    </row>
    <row r="56" ht="14.25" customHeight="1" s="862">
      <c r="F56" s="1128" t="n"/>
      <c r="G56" s="1129" t="n"/>
      <c r="H56" s="1129" t="n"/>
    </row>
    <row r="57" ht="14.25" customHeight="1" s="862">
      <c r="F57" s="1128" t="n"/>
      <c r="G57" s="1129" t="n"/>
      <c r="H57" s="1129" t="n"/>
    </row>
    <row r="58" ht="14.25" customHeight="1" s="862">
      <c r="F58" s="1128" t="n"/>
      <c r="G58" s="1129" t="n"/>
      <c r="H58" s="1129" t="n"/>
    </row>
    <row r="59" ht="14.25" customHeight="1" s="862">
      <c r="F59" s="1128" t="n"/>
      <c r="G59" s="1129" t="n"/>
      <c r="H59" s="1129" t="n"/>
    </row>
    <row r="60" ht="14.25" customHeight="1" s="862">
      <c r="F60" s="1128" t="n"/>
      <c r="G60" s="1129" t="n"/>
      <c r="H60" s="1129" t="n"/>
    </row>
    <row r="61" ht="14.25" customHeight="1" s="862">
      <c r="F61" s="1128" t="n"/>
      <c r="G61" s="1129" t="n"/>
      <c r="H61" s="1129" t="n"/>
    </row>
    <row r="62" ht="14.25" customHeight="1" s="862">
      <c r="F62" s="1128" t="n"/>
      <c r="G62" s="1129" t="n"/>
      <c r="H62" s="1129" t="n"/>
    </row>
    <row r="63" ht="14.25" customHeight="1" s="862">
      <c r="F63" s="1128" t="n"/>
      <c r="G63" s="1129" t="n"/>
      <c r="H63" s="1129" t="n"/>
    </row>
    <row r="64" ht="14.25" customHeight="1" s="862">
      <c r="F64" s="1128" t="n"/>
      <c r="G64" s="1129" t="n"/>
      <c r="H64" s="1129" t="n"/>
    </row>
    <row r="65" ht="14.25" customHeight="1" s="862">
      <c r="F65" s="1128" t="n"/>
      <c r="G65" s="1129" t="n"/>
      <c r="H65" s="1129" t="n"/>
    </row>
    <row r="66" ht="14.25" customHeight="1" s="862">
      <c r="F66" s="1128" t="n"/>
      <c r="G66" s="1129" t="n"/>
      <c r="H66" s="1129" t="n"/>
    </row>
    <row r="67" ht="14.25" customHeight="1" s="862">
      <c r="F67" s="1128" t="n"/>
      <c r="G67" s="1129" t="n"/>
      <c r="H67" s="1129" t="n"/>
    </row>
    <row r="68" ht="14.25" customHeight="1" s="862">
      <c r="F68" s="1128" t="n"/>
      <c r="G68" s="1129" t="n"/>
      <c r="H68" s="1129" t="n"/>
    </row>
    <row r="69" ht="14.25" customHeight="1" s="862">
      <c r="F69" s="1128" t="n"/>
      <c r="G69" s="1129" t="n"/>
      <c r="H69" s="1129" t="n"/>
    </row>
    <row r="70" ht="14.25" customHeight="1" s="862">
      <c r="F70" s="1128" t="n"/>
      <c r="G70" s="1129" t="n"/>
      <c r="H70" s="1129" t="n"/>
    </row>
    <row r="71" ht="14.25" customHeight="1" s="862">
      <c r="F71" s="1128" t="n"/>
      <c r="G71" s="1129" t="n"/>
      <c r="H71" s="1129" t="n"/>
    </row>
    <row r="72" ht="14.25" customHeight="1" s="862">
      <c r="F72" s="1128" t="n"/>
      <c r="G72" s="1129" t="n"/>
      <c r="H72" s="1129" t="n"/>
    </row>
    <row r="73" ht="14.25" customHeight="1" s="862">
      <c r="F73" s="1128" t="n"/>
      <c r="G73" s="1129" t="n"/>
      <c r="H73" s="1129" t="n"/>
    </row>
    <row r="74" ht="14.25" customHeight="1" s="862">
      <c r="F74" s="1128" t="n"/>
      <c r="G74" s="1129" t="n"/>
      <c r="H74" s="1129" t="n"/>
    </row>
    <row r="75" ht="14.25" customHeight="1" s="862">
      <c r="F75" s="1128" t="n"/>
      <c r="G75" s="1129" t="n"/>
      <c r="H75" s="1129" t="n"/>
    </row>
    <row r="76" ht="14.25" customHeight="1" s="862">
      <c r="F76" s="1128" t="n"/>
      <c r="G76" s="1129" t="n"/>
      <c r="H76" s="1129" t="n"/>
    </row>
    <row r="77" ht="14.25" customHeight="1" s="862">
      <c r="F77" s="1128" t="n"/>
      <c r="G77" s="1129" t="n"/>
      <c r="H77" s="1129" t="n"/>
    </row>
    <row r="78" ht="14.25" customHeight="1" s="862">
      <c r="F78" s="1128" t="n"/>
      <c r="G78" s="1129" t="n"/>
      <c r="H78" s="1129" t="n"/>
    </row>
    <row r="79" ht="14.25" customHeight="1" s="862">
      <c r="F79" s="1128" t="n"/>
      <c r="G79" s="1129" t="n"/>
      <c r="H79" s="1129" t="n"/>
    </row>
    <row r="80" ht="14.25" customHeight="1" s="862">
      <c r="F80" s="1128" t="n"/>
      <c r="G80" s="1129" t="n"/>
      <c r="H80" s="1129" t="n"/>
    </row>
    <row r="81" ht="14.25" customHeight="1" s="862">
      <c r="F81" s="1128" t="n"/>
      <c r="G81" s="1129" t="n"/>
      <c r="H81" s="1129" t="n"/>
    </row>
    <row r="82" ht="14.25" customHeight="1" s="862">
      <c r="F82" s="1128" t="n"/>
      <c r="G82" s="1129" t="n"/>
      <c r="H82" s="1129" t="n"/>
    </row>
    <row r="83" ht="14.25" customHeight="1" s="862">
      <c r="F83" s="1128" t="n"/>
      <c r="G83" s="1129" t="n"/>
      <c r="H83" s="1129" t="n"/>
    </row>
    <row r="84" ht="14.25" customHeight="1" s="862">
      <c r="F84" s="1128" t="n"/>
      <c r="G84" s="1129" t="n"/>
      <c r="H84" s="1129" t="n"/>
    </row>
    <row r="85" ht="14.25" customHeight="1" s="862">
      <c r="F85" s="1128" t="n"/>
      <c r="G85" s="1129" t="n"/>
      <c r="H85" s="1129" t="n"/>
    </row>
    <row r="86" ht="14.25" customHeight="1" s="862">
      <c r="F86" s="1128" t="n"/>
      <c r="G86" s="1129" t="n"/>
      <c r="H86" s="1129" t="n"/>
    </row>
    <row r="87" ht="14.25" customHeight="1" s="862">
      <c r="F87" s="1128" t="n"/>
      <c r="G87" s="1129" t="n"/>
      <c r="H87" s="1129" t="n"/>
    </row>
    <row r="88" ht="14.25" customHeight="1" s="862">
      <c r="F88" s="1128" t="n"/>
      <c r="G88" s="1129" t="n"/>
      <c r="H88" s="1129" t="n"/>
    </row>
    <row r="89" ht="14.25" customHeight="1" s="862">
      <c r="F89" s="1128" t="n"/>
      <c r="G89" s="1129" t="n"/>
      <c r="H89" s="1129" t="n"/>
    </row>
    <row r="90" ht="14.25" customHeight="1" s="862">
      <c r="F90" s="1128" t="n"/>
      <c r="G90" s="1129" t="n"/>
      <c r="H90" s="1129" t="n"/>
    </row>
    <row r="91" ht="14.25" customHeight="1" s="862">
      <c r="F91" s="1128" t="n"/>
      <c r="G91" s="1129" t="n"/>
      <c r="H91" s="1129" t="n"/>
    </row>
    <row r="92" ht="14.25" customHeight="1" s="862">
      <c r="F92" s="1128" t="n"/>
      <c r="G92" s="1129" t="n"/>
      <c r="H92" s="1129" t="n"/>
    </row>
    <row r="93" ht="14.25" customHeight="1" s="862">
      <c r="F93" s="1128" t="n"/>
      <c r="G93" s="1129" t="n"/>
      <c r="H93" s="1129" t="n"/>
    </row>
    <row r="94" ht="14.25" customHeight="1" s="862">
      <c r="F94" s="1128" t="n"/>
      <c r="G94" s="1129" t="n"/>
      <c r="H94" s="1129" t="n"/>
    </row>
    <row r="95" ht="14.25" customHeight="1" s="862">
      <c r="F95" s="1128" t="n"/>
      <c r="G95" s="1129" t="n"/>
      <c r="H95" s="1129" t="n"/>
    </row>
    <row r="96" ht="14.25" customHeight="1" s="862">
      <c r="F96" s="1128" t="n"/>
      <c r="G96" s="1129" t="n"/>
      <c r="H96" s="1129" t="n"/>
    </row>
    <row r="97" ht="14.25" customHeight="1" s="862">
      <c r="F97" s="1128" t="n"/>
      <c r="G97" s="1129" t="n"/>
      <c r="H97" s="1129" t="n"/>
    </row>
    <row r="98" ht="14.25" customHeight="1" s="862">
      <c r="F98" s="1128" t="n"/>
      <c r="G98" s="1129" t="n"/>
      <c r="H98" s="1129" t="n"/>
    </row>
    <row r="99" ht="14.25" customHeight="1" s="862">
      <c r="F99" s="1128" t="n"/>
      <c r="G99" s="1129" t="n"/>
      <c r="H99" s="1129" t="n"/>
    </row>
    <row r="100" ht="14.25" customHeight="1" s="862">
      <c r="F100" s="1128" t="n"/>
      <c r="G100" s="1129" t="n"/>
      <c r="H100" s="1129" t="n"/>
    </row>
    <row r="101" ht="14.25" customHeight="1" s="862">
      <c r="F101" s="1128" t="n"/>
      <c r="G101" s="1129" t="n"/>
      <c r="H101" s="1129" t="n"/>
    </row>
    <row r="102" ht="14.25" customHeight="1" s="862">
      <c r="F102" s="1128" t="n"/>
      <c r="G102" s="1129" t="n"/>
      <c r="H102" s="1129" t="n"/>
    </row>
    <row r="103" ht="14.25" customHeight="1" s="862">
      <c r="F103" s="1128" t="n"/>
      <c r="G103" s="1129" t="n"/>
      <c r="H103" s="1129" t="n"/>
    </row>
    <row r="104" ht="14.25" customHeight="1" s="862">
      <c r="F104" s="1128" t="n"/>
      <c r="G104" s="1129" t="n"/>
      <c r="H104" s="1129" t="n"/>
    </row>
    <row r="105" ht="14.25" customHeight="1" s="862">
      <c r="F105" s="1128" t="n"/>
      <c r="G105" s="1129" t="n"/>
      <c r="H105" s="1129" t="n"/>
    </row>
    <row r="106" ht="14.25" customHeight="1" s="862">
      <c r="F106" s="1128" t="n"/>
      <c r="G106" s="1129" t="n"/>
      <c r="H106" s="1129" t="n"/>
    </row>
    <row r="107" ht="14.25" customHeight="1" s="862">
      <c r="F107" s="1128" t="n"/>
      <c r="G107" s="1129" t="n"/>
      <c r="H107" s="1129" t="n"/>
    </row>
    <row r="108" ht="14.25" customHeight="1" s="862">
      <c r="F108" s="1128" t="n"/>
      <c r="G108" s="1129" t="n"/>
      <c r="H108" s="1129" t="n"/>
    </row>
    <row r="109" ht="14.25" customHeight="1" s="862">
      <c r="F109" s="1128" t="n"/>
      <c r="G109" s="1129" t="n"/>
      <c r="H109" s="1129" t="n"/>
    </row>
    <row r="110" ht="14.25" customHeight="1" s="862">
      <c r="F110" s="1128" t="n"/>
      <c r="G110" s="1129" t="n"/>
      <c r="H110" s="1129" t="n"/>
    </row>
    <row r="111" ht="14.25" customHeight="1" s="862">
      <c r="F111" s="1128" t="n"/>
      <c r="G111" s="1129" t="n"/>
      <c r="H111" s="1129" t="n"/>
    </row>
    <row r="112" ht="14.25" customHeight="1" s="862">
      <c r="F112" s="1128" t="n"/>
      <c r="G112" s="1129" t="n"/>
      <c r="H112" s="1129" t="n"/>
    </row>
    <row r="113" ht="14.25" customHeight="1" s="862">
      <c r="F113" s="1128" t="n"/>
      <c r="G113" s="1129" t="n"/>
      <c r="H113" s="1129" t="n"/>
    </row>
    <row r="114" ht="14.25" customHeight="1" s="862">
      <c r="F114" s="1128" t="n"/>
      <c r="G114" s="1129" t="n"/>
      <c r="H114" s="1129" t="n"/>
    </row>
    <row r="115" ht="14.25" customHeight="1" s="862">
      <c r="F115" s="1128" t="n"/>
      <c r="G115" s="1129" t="n"/>
      <c r="H115" s="1129" t="n"/>
    </row>
    <row r="116" ht="14.25" customHeight="1" s="862">
      <c r="F116" s="1128" t="n"/>
      <c r="G116" s="1129" t="n"/>
      <c r="H116" s="1129" t="n"/>
    </row>
    <row r="117" ht="14.25" customHeight="1" s="862">
      <c r="F117" s="1128" t="n"/>
      <c r="G117" s="1129" t="n"/>
      <c r="H117" s="1129" t="n"/>
    </row>
    <row r="118" ht="14.25" customHeight="1" s="862">
      <c r="F118" s="1128" t="n"/>
      <c r="G118" s="1129" t="n"/>
      <c r="H118" s="1129" t="n"/>
    </row>
    <row r="119" ht="14.25" customHeight="1" s="862">
      <c r="F119" s="1128" t="n"/>
      <c r="G119" s="1129" t="n"/>
      <c r="H119" s="1129" t="n"/>
    </row>
    <row r="120" ht="14.25" customHeight="1" s="862">
      <c r="F120" s="1128" t="n"/>
      <c r="G120" s="1129" t="n"/>
      <c r="H120" s="1129" t="n"/>
    </row>
    <row r="121" ht="14.25" customHeight="1" s="862">
      <c r="F121" s="1128" t="n"/>
      <c r="G121" s="1129" t="n"/>
      <c r="H121" s="1129" t="n"/>
    </row>
    <row r="122" ht="14.25" customHeight="1" s="862">
      <c r="F122" s="1128" t="n"/>
      <c r="G122" s="1129" t="n"/>
      <c r="H122" s="1129" t="n"/>
    </row>
    <row r="123" ht="14.25" customHeight="1" s="862">
      <c r="F123" s="1128" t="n"/>
      <c r="G123" s="1129" t="n"/>
      <c r="H123" s="1129" t="n"/>
    </row>
    <row r="124" ht="14.25" customHeight="1" s="862">
      <c r="F124" s="1128" t="n"/>
      <c r="G124" s="1129" t="n"/>
      <c r="H124" s="1129" t="n"/>
    </row>
    <row r="125" ht="14.25" customHeight="1" s="862">
      <c r="F125" s="1128" t="n"/>
      <c r="G125" s="1129" t="n"/>
      <c r="H125" s="1129" t="n"/>
    </row>
    <row r="126" ht="14.25" customHeight="1" s="862">
      <c r="F126" s="1128" t="n"/>
      <c r="G126" s="1129" t="n"/>
      <c r="H126" s="1129" t="n"/>
    </row>
    <row r="127" ht="14.25" customHeight="1" s="862">
      <c r="F127" s="1128" t="n"/>
      <c r="G127" s="1129" t="n"/>
      <c r="H127" s="1129" t="n"/>
    </row>
    <row r="128" ht="14.25" customHeight="1" s="862">
      <c r="F128" s="1128" t="n"/>
      <c r="G128" s="1129" t="n"/>
      <c r="H128" s="1129" t="n"/>
    </row>
    <row r="129" ht="14.25" customHeight="1" s="862">
      <c r="F129" s="1128" t="n"/>
      <c r="G129" s="1129" t="n"/>
      <c r="H129" s="1129" t="n"/>
    </row>
    <row r="130" ht="14.25" customHeight="1" s="862">
      <c r="F130" s="1128" t="n"/>
      <c r="G130" s="1129" t="n"/>
      <c r="H130" s="1129" t="n"/>
    </row>
    <row r="131" ht="14.25" customHeight="1" s="862">
      <c r="F131" s="1128" t="n"/>
      <c r="G131" s="1129" t="n"/>
      <c r="H131" s="1129" t="n"/>
    </row>
    <row r="132" ht="14.25" customHeight="1" s="862">
      <c r="F132" s="1128" t="n"/>
      <c r="G132" s="1129" t="n"/>
      <c r="H132" s="1129" t="n"/>
    </row>
    <row r="133" ht="14.25" customHeight="1" s="862">
      <c r="F133" s="1128" t="n"/>
      <c r="G133" s="1129" t="n"/>
      <c r="H133" s="1129" t="n"/>
    </row>
    <row r="134" ht="14.25" customHeight="1" s="862">
      <c r="F134" s="1128" t="n"/>
      <c r="G134" s="1129" t="n"/>
      <c r="H134" s="1129" t="n"/>
    </row>
    <row r="135" ht="14.25" customHeight="1" s="862">
      <c r="F135" s="1128" t="n"/>
      <c r="G135" s="1129" t="n"/>
      <c r="H135" s="1129" t="n"/>
    </row>
    <row r="136" ht="14.25" customHeight="1" s="862">
      <c r="F136" s="1128" t="n"/>
      <c r="G136" s="1129" t="n"/>
      <c r="H136" s="1129" t="n"/>
    </row>
    <row r="137" ht="14.25" customHeight="1" s="862">
      <c r="F137" s="1128" t="n"/>
      <c r="G137" s="1129" t="n"/>
      <c r="H137" s="1129" t="n"/>
    </row>
    <row r="138" ht="14.25" customHeight="1" s="862">
      <c r="F138" s="1128" t="n"/>
      <c r="G138" s="1129" t="n"/>
      <c r="H138" s="1129" t="n"/>
    </row>
    <row r="139" ht="14.25" customHeight="1" s="862">
      <c r="F139" s="1128" t="n"/>
      <c r="G139" s="1129" t="n"/>
      <c r="H139" s="1129" t="n"/>
    </row>
    <row r="140" ht="14.25" customHeight="1" s="862">
      <c r="F140" s="1128" t="n"/>
      <c r="G140" s="1129" t="n"/>
      <c r="H140" s="1129" t="n"/>
    </row>
    <row r="141" ht="14.25" customHeight="1" s="862">
      <c r="F141" s="1128" t="n"/>
      <c r="G141" s="1129" t="n"/>
      <c r="H141" s="1129" t="n"/>
    </row>
    <row r="142" ht="14.25" customHeight="1" s="862">
      <c r="F142" s="1128" t="n"/>
      <c r="G142" s="1129" t="n"/>
      <c r="H142" s="1129" t="n"/>
    </row>
    <row r="143" ht="14.25" customHeight="1" s="862">
      <c r="F143" s="1128" t="n"/>
      <c r="G143" s="1129" t="n"/>
      <c r="H143" s="1129" t="n"/>
    </row>
    <row r="144" ht="14.25" customHeight="1" s="862">
      <c r="F144" s="1128" t="n"/>
      <c r="G144" s="1129" t="n"/>
      <c r="H144" s="1129" t="n"/>
    </row>
    <row r="145" ht="14.25" customHeight="1" s="862">
      <c r="F145" s="1128" t="n"/>
      <c r="G145" s="1129" t="n"/>
      <c r="H145" s="1129" t="n"/>
    </row>
    <row r="146" ht="14.25" customHeight="1" s="862">
      <c r="F146" s="1128" t="n"/>
      <c r="G146" s="1129" t="n"/>
      <c r="H146" s="1129" t="n"/>
    </row>
    <row r="147" ht="14.25" customHeight="1" s="862">
      <c r="F147" s="1128" t="n"/>
      <c r="G147" s="1129" t="n"/>
      <c r="H147" s="1129" t="n"/>
    </row>
    <row r="148" ht="14.25" customHeight="1" s="862">
      <c r="F148" s="1128" t="n"/>
      <c r="G148" s="1129" t="n"/>
      <c r="H148" s="1129" t="n"/>
    </row>
    <row r="149" ht="14.25" customHeight="1" s="862">
      <c r="F149" s="1128" t="n"/>
      <c r="G149" s="1129" t="n"/>
      <c r="H149" s="1129" t="n"/>
    </row>
    <row r="150" ht="14.25" customHeight="1" s="862">
      <c r="F150" s="1128" t="n"/>
      <c r="G150" s="1129" t="n"/>
      <c r="H150" s="1129" t="n"/>
    </row>
    <row r="151" ht="14.25" customHeight="1" s="862">
      <c r="F151" s="1128" t="n"/>
      <c r="G151" s="1129" t="n"/>
      <c r="H151" s="1129" t="n"/>
    </row>
    <row r="152" ht="14.25" customHeight="1" s="862">
      <c r="F152" s="1128" t="n"/>
      <c r="G152" s="1129" t="n"/>
      <c r="H152" s="1129" t="n"/>
    </row>
    <row r="153" ht="14.25" customHeight="1" s="862">
      <c r="F153" s="1128" t="n"/>
      <c r="G153" s="1129" t="n"/>
      <c r="H153" s="1129" t="n"/>
    </row>
    <row r="154" ht="14.25" customHeight="1" s="862">
      <c r="F154" s="1128" t="n"/>
      <c r="G154" s="1129" t="n"/>
      <c r="H154" s="1129" t="n"/>
    </row>
    <row r="155" ht="14.25" customHeight="1" s="862">
      <c r="F155" s="1128" t="n"/>
      <c r="G155" s="1129" t="n"/>
      <c r="H155" s="1129" t="n"/>
    </row>
    <row r="156" ht="14.25" customHeight="1" s="862">
      <c r="F156" s="1128" t="n"/>
      <c r="G156" s="1129" t="n"/>
      <c r="H156" s="1129" t="n"/>
    </row>
    <row r="157" ht="14.25" customHeight="1" s="862">
      <c r="F157" s="1128" t="n"/>
      <c r="G157" s="1129" t="n"/>
      <c r="H157" s="1129" t="n"/>
    </row>
    <row r="158" ht="14.25" customHeight="1" s="862">
      <c r="F158" s="1128" t="n"/>
      <c r="G158" s="1129" t="n"/>
      <c r="H158" s="1129" t="n"/>
    </row>
    <row r="159" ht="14.25" customHeight="1" s="862">
      <c r="F159" s="1128" t="n"/>
      <c r="G159" s="1129" t="n"/>
      <c r="H159" s="1129" t="n"/>
    </row>
    <row r="160" ht="14.25" customHeight="1" s="862">
      <c r="F160" s="1128" t="n"/>
      <c r="G160" s="1129" t="n"/>
      <c r="H160" s="1129" t="n"/>
    </row>
    <row r="161" ht="14.25" customHeight="1" s="862">
      <c r="F161" s="1128" t="n"/>
      <c r="G161" s="1129" t="n"/>
      <c r="H161" s="1129" t="n"/>
    </row>
    <row r="162" ht="14.25" customHeight="1" s="862">
      <c r="F162" s="1128" t="n"/>
      <c r="G162" s="1129" t="n"/>
      <c r="H162" s="1129" t="n"/>
    </row>
    <row r="163" ht="14.25" customHeight="1" s="862">
      <c r="F163" s="1128" t="n"/>
      <c r="G163" s="1129" t="n"/>
      <c r="H163" s="1129" t="n"/>
    </row>
    <row r="164" ht="14.25" customHeight="1" s="862">
      <c r="F164" s="1128" t="n"/>
      <c r="G164" s="1129" t="n"/>
      <c r="H164" s="1129" t="n"/>
    </row>
    <row r="165" ht="14.25" customHeight="1" s="862">
      <c r="F165" s="1128" t="n"/>
      <c r="G165" s="1129" t="n"/>
      <c r="H165" s="1129" t="n"/>
    </row>
    <row r="166" ht="14.25" customHeight="1" s="862">
      <c r="F166" s="1128" t="n"/>
      <c r="G166" s="1129" t="n"/>
      <c r="H166" s="1129" t="n"/>
    </row>
    <row r="167" ht="14.25" customHeight="1" s="862">
      <c r="F167" s="1128" t="n"/>
      <c r="G167" s="1129" t="n"/>
      <c r="H167" s="1129" t="n"/>
    </row>
    <row r="168" ht="14.25" customHeight="1" s="862">
      <c r="F168" s="1128" t="n"/>
      <c r="G168" s="1129" t="n"/>
      <c r="H168" s="1129" t="n"/>
    </row>
    <row r="169" ht="14.25" customHeight="1" s="862">
      <c r="F169" s="1128" t="n"/>
      <c r="G169" s="1129" t="n"/>
      <c r="H169" s="1129" t="n"/>
    </row>
    <row r="170" ht="14.25" customHeight="1" s="862">
      <c r="F170" s="1128" t="n"/>
      <c r="G170" s="1129" t="n"/>
      <c r="H170" s="1129" t="n"/>
    </row>
    <row r="171" ht="14.25" customHeight="1" s="862">
      <c r="F171" s="1128" t="n"/>
      <c r="G171" s="1129" t="n"/>
      <c r="H171" s="1129" t="n"/>
    </row>
    <row r="172" ht="14.25" customHeight="1" s="862">
      <c r="F172" s="1128" t="n"/>
      <c r="G172" s="1129" t="n"/>
      <c r="H172" s="1129" t="n"/>
    </row>
    <row r="173" ht="14.25" customHeight="1" s="862">
      <c r="F173" s="1128" t="n"/>
      <c r="G173" s="1129" t="n"/>
      <c r="H173" s="1129" t="n"/>
    </row>
    <row r="174" ht="14.25" customHeight="1" s="862">
      <c r="F174" s="1128" t="n"/>
      <c r="G174" s="1129" t="n"/>
      <c r="H174" s="1129" t="n"/>
    </row>
    <row r="175" ht="14.25" customHeight="1" s="862">
      <c r="F175" s="1128" t="n"/>
      <c r="G175" s="1129" t="n"/>
      <c r="H175" s="1129" t="n"/>
    </row>
    <row r="176" ht="14.25" customHeight="1" s="862">
      <c r="F176" s="1128" t="n"/>
      <c r="G176" s="1129" t="n"/>
      <c r="H176" s="1129" t="n"/>
    </row>
    <row r="177" ht="14.25" customHeight="1" s="862">
      <c r="F177" s="1128" t="n"/>
      <c r="G177" s="1129" t="n"/>
      <c r="H177" s="1129" t="n"/>
    </row>
    <row r="178" ht="14.25" customHeight="1" s="862">
      <c r="F178" s="1128" t="n"/>
      <c r="G178" s="1129" t="n"/>
      <c r="H178" s="1129" t="n"/>
    </row>
    <row r="179" ht="14.25" customHeight="1" s="862">
      <c r="F179" s="1128" t="n"/>
      <c r="G179" s="1129" t="n"/>
      <c r="H179" s="1129" t="n"/>
    </row>
    <row r="180" ht="14.25" customHeight="1" s="862">
      <c r="F180" s="1128" t="n"/>
      <c r="G180" s="1129" t="n"/>
      <c r="H180" s="1129" t="n"/>
    </row>
    <row r="181" ht="14.25" customHeight="1" s="862">
      <c r="F181" s="1128" t="n"/>
      <c r="G181" s="1129" t="n"/>
      <c r="H181" s="1129" t="n"/>
    </row>
    <row r="182" ht="14.25" customHeight="1" s="862">
      <c r="F182" s="1128" t="n"/>
      <c r="G182" s="1129" t="n"/>
      <c r="H182" s="1129" t="n"/>
    </row>
    <row r="183" ht="14.25" customHeight="1" s="862">
      <c r="F183" s="1128" t="n"/>
      <c r="G183" s="1129" t="n"/>
      <c r="H183" s="1129" t="n"/>
    </row>
    <row r="184" ht="14.25" customHeight="1" s="862">
      <c r="F184" s="1128" t="n"/>
      <c r="G184" s="1129" t="n"/>
      <c r="H184" s="1129" t="n"/>
    </row>
    <row r="185" ht="14.25" customHeight="1" s="862">
      <c r="F185" s="1128" t="n"/>
      <c r="G185" s="1129" t="n"/>
      <c r="H185" s="1129" t="n"/>
    </row>
    <row r="186" ht="14.25" customHeight="1" s="862">
      <c r="F186" s="1128" t="n"/>
      <c r="G186" s="1129" t="n"/>
      <c r="H186" s="1129" t="n"/>
    </row>
    <row r="187" ht="14.25" customHeight="1" s="862">
      <c r="F187" s="1128" t="n"/>
      <c r="G187" s="1129" t="n"/>
      <c r="H187" s="1129" t="n"/>
    </row>
    <row r="188" ht="14.25" customHeight="1" s="862">
      <c r="F188" s="1128" t="n"/>
      <c r="G188" s="1129" t="n"/>
      <c r="H188" s="1129" t="n"/>
    </row>
    <row r="189" ht="14.25" customHeight="1" s="862">
      <c r="F189" s="1128" t="n"/>
      <c r="G189" s="1129" t="n"/>
      <c r="H189" s="1129" t="n"/>
    </row>
    <row r="190" ht="14.25" customHeight="1" s="862">
      <c r="F190" s="1128" t="n"/>
      <c r="G190" s="1129" t="n"/>
      <c r="H190" s="1129" t="n"/>
    </row>
    <row r="191" ht="14.25" customHeight="1" s="862">
      <c r="F191" s="1128" t="n"/>
      <c r="G191" s="1129" t="n"/>
      <c r="H191" s="1129" t="n"/>
    </row>
    <row r="192" ht="14.25" customHeight="1" s="862">
      <c r="F192" s="1128" t="n"/>
      <c r="G192" s="1129" t="n"/>
      <c r="H192" s="1129" t="n"/>
    </row>
    <row r="193" ht="14.25" customHeight="1" s="862">
      <c r="F193" s="1128" t="n"/>
      <c r="G193" s="1129" t="n"/>
      <c r="H193" s="1129" t="n"/>
    </row>
    <row r="194" ht="14.25" customHeight="1" s="862">
      <c r="F194" s="1128" t="n"/>
      <c r="G194" s="1129" t="n"/>
      <c r="H194" s="1129" t="n"/>
    </row>
    <row r="195" ht="14.25" customHeight="1" s="862">
      <c r="F195" s="1128" t="n"/>
      <c r="G195" s="1129" t="n"/>
      <c r="H195" s="1129" t="n"/>
    </row>
    <row r="196" ht="14.25" customHeight="1" s="862">
      <c r="F196" s="1128" t="n"/>
      <c r="G196" s="1129" t="n"/>
      <c r="H196" s="1129" t="n"/>
    </row>
    <row r="197" ht="14.25" customHeight="1" s="862">
      <c r="F197" s="1128" t="n"/>
      <c r="G197" s="1129" t="n"/>
      <c r="H197" s="1129" t="n"/>
    </row>
    <row r="198" ht="14.25" customHeight="1" s="862">
      <c r="F198" s="1128" t="n"/>
      <c r="G198" s="1129" t="n"/>
      <c r="H198" s="1129" t="n"/>
    </row>
    <row r="199" ht="14.25" customHeight="1" s="862">
      <c r="F199" s="1128" t="n"/>
      <c r="G199" s="1129" t="n"/>
      <c r="H199" s="1129" t="n"/>
    </row>
    <row r="200" ht="14.25" customHeight="1" s="862">
      <c r="F200" s="1128" t="n"/>
      <c r="G200" s="1129" t="n"/>
      <c r="H200" s="1129" t="n"/>
    </row>
    <row r="201" ht="14.25" customHeight="1" s="862">
      <c r="F201" s="1128" t="n"/>
      <c r="G201" s="1129" t="n"/>
      <c r="H201" s="1129" t="n"/>
    </row>
    <row r="202" ht="14.25" customHeight="1" s="862">
      <c r="F202" s="1128" t="n"/>
      <c r="G202" s="1129" t="n"/>
      <c r="H202" s="1129" t="n"/>
    </row>
    <row r="203" ht="14.25" customHeight="1" s="862">
      <c r="F203" s="1128" t="n"/>
      <c r="G203" s="1129" t="n"/>
      <c r="H203" s="1129" t="n"/>
    </row>
    <row r="204" ht="14.25" customHeight="1" s="862">
      <c r="F204" s="1128" t="n"/>
      <c r="G204" s="1129" t="n"/>
      <c r="H204" s="1129" t="n"/>
    </row>
    <row r="205" ht="14.25" customHeight="1" s="862">
      <c r="F205" s="1128" t="n"/>
      <c r="G205" s="1129" t="n"/>
      <c r="H205" s="1129" t="n"/>
    </row>
    <row r="206" ht="14.25" customHeight="1" s="862">
      <c r="F206" s="1128" t="n"/>
      <c r="G206" s="1129" t="n"/>
      <c r="H206" s="1129" t="n"/>
    </row>
    <row r="207" ht="14.25" customHeight="1" s="862">
      <c r="F207" s="1128" t="n"/>
      <c r="G207" s="1129" t="n"/>
      <c r="H207" s="1129" t="n"/>
    </row>
    <row r="208" ht="14.25" customHeight="1" s="862">
      <c r="F208" s="1128" t="n"/>
      <c r="G208" s="1129" t="n"/>
      <c r="H208" s="1129" t="n"/>
    </row>
    <row r="209" ht="14.25" customHeight="1" s="862">
      <c r="F209" s="1128" t="n"/>
      <c r="G209" s="1129" t="n"/>
      <c r="H209" s="1129" t="n"/>
    </row>
    <row r="210" ht="14.25" customHeight="1" s="862">
      <c r="F210" s="1128" t="n"/>
      <c r="G210" s="1129" t="n"/>
      <c r="H210" s="1129" t="n"/>
    </row>
    <row r="211" ht="14.25" customHeight="1" s="862">
      <c r="F211" s="1128" t="n"/>
      <c r="G211" s="1129" t="n"/>
      <c r="H211" s="1129" t="n"/>
    </row>
    <row r="212" ht="14.25" customHeight="1" s="862">
      <c r="F212" s="1128" t="n"/>
      <c r="G212" s="1129" t="n"/>
      <c r="H212" s="1129" t="n"/>
    </row>
    <row r="213" ht="14.25" customHeight="1" s="862">
      <c r="F213" s="1128" t="n"/>
      <c r="G213" s="1129" t="n"/>
      <c r="H213" s="1129" t="n"/>
    </row>
    <row r="214" ht="14.25" customHeight="1" s="862">
      <c r="F214" s="1128" t="n"/>
      <c r="G214" s="1129" t="n"/>
      <c r="H214" s="1129" t="n"/>
    </row>
    <row r="215" ht="14.25" customHeight="1" s="862">
      <c r="F215" s="1128" t="n"/>
      <c r="G215" s="1129" t="n"/>
      <c r="H215" s="1129" t="n"/>
    </row>
    <row r="216" ht="14.25" customHeight="1" s="862">
      <c r="F216" s="1128" t="n"/>
      <c r="G216" s="1129" t="n"/>
      <c r="H216" s="1129" t="n"/>
    </row>
    <row r="217" ht="14.25" customHeight="1" s="862">
      <c r="F217" s="1128" t="n"/>
      <c r="G217" s="1129" t="n"/>
      <c r="H217" s="1129" t="n"/>
    </row>
    <row r="218" ht="14.25" customHeight="1" s="862">
      <c r="F218" s="1128" t="n"/>
      <c r="G218" s="1129" t="n"/>
      <c r="H218" s="1129" t="n"/>
    </row>
    <row r="219" ht="14.25" customHeight="1" s="862">
      <c r="F219" s="1128" t="n"/>
      <c r="G219" s="1129" t="n"/>
      <c r="H219" s="1129" t="n"/>
    </row>
    <row r="220" ht="14.25" customHeight="1" s="862">
      <c r="F220" s="1128" t="n"/>
      <c r="G220" s="1129" t="n"/>
      <c r="H220" s="1129" t="n"/>
    </row>
    <row r="221" ht="14.25" customHeight="1" s="862">
      <c r="F221" s="1128" t="n"/>
      <c r="G221" s="1129" t="n"/>
      <c r="H221" s="1129" t="n"/>
    </row>
    <row r="222" ht="14.25" customHeight="1" s="862">
      <c r="F222" s="1128" t="n"/>
      <c r="G222" s="1129" t="n"/>
      <c r="H222" s="1129" t="n"/>
    </row>
    <row r="223" ht="14.25" customHeight="1" s="862">
      <c r="F223" s="1128" t="n"/>
      <c r="G223" s="1129" t="n"/>
      <c r="H223" s="1129" t="n"/>
    </row>
    <row r="224" ht="14.25" customHeight="1" s="862">
      <c r="F224" s="1128" t="n"/>
      <c r="G224" s="1129" t="n"/>
      <c r="H224" s="1129" t="n"/>
    </row>
    <row r="225" ht="14.25" customHeight="1" s="862">
      <c r="F225" s="1128" t="n"/>
      <c r="G225" s="1129" t="n"/>
      <c r="H225" s="1129" t="n"/>
    </row>
    <row r="226" ht="14.25" customHeight="1" s="862">
      <c r="F226" s="1128" t="n"/>
      <c r="G226" s="1129" t="n"/>
      <c r="H226" s="1129" t="n"/>
    </row>
    <row r="227" ht="14.25" customHeight="1" s="862">
      <c r="F227" s="1128" t="n"/>
      <c r="G227" s="1129" t="n"/>
      <c r="H227" s="1129" t="n"/>
    </row>
    <row r="228" ht="14.25" customHeight="1" s="862">
      <c r="F228" s="1128" t="n"/>
      <c r="G228" s="1129" t="n"/>
      <c r="H228" s="1129" t="n"/>
    </row>
    <row r="229" ht="14.25" customHeight="1" s="862">
      <c r="F229" s="1128" t="n"/>
      <c r="G229" s="1129" t="n"/>
      <c r="H229" s="1129" t="n"/>
    </row>
    <row r="230" ht="14.25" customHeight="1" s="862">
      <c r="F230" s="1128" t="n"/>
      <c r="G230" s="1129" t="n"/>
      <c r="H230" s="1129" t="n"/>
    </row>
    <row r="231" ht="14.25" customHeight="1" s="862">
      <c r="F231" s="1128" t="n"/>
      <c r="G231" s="1129" t="n"/>
      <c r="H231" s="1129" t="n"/>
    </row>
    <row r="232" ht="14.25" customHeight="1" s="862">
      <c r="F232" s="1128" t="n"/>
      <c r="G232" s="1129" t="n"/>
      <c r="H232" s="1129" t="n"/>
    </row>
    <row r="233" ht="14.25" customHeight="1" s="862">
      <c r="F233" s="1128" t="n"/>
      <c r="G233" s="1129" t="n"/>
      <c r="H233" s="1129" t="n"/>
    </row>
    <row r="234" ht="14.25" customHeight="1" s="862">
      <c r="F234" s="1128" t="n"/>
      <c r="G234" s="1129" t="n"/>
      <c r="H234" s="1129" t="n"/>
    </row>
    <row r="235" ht="14.25" customHeight="1" s="862">
      <c r="F235" s="1128" t="n"/>
      <c r="G235" s="1129" t="n"/>
      <c r="H235" s="1129" t="n"/>
    </row>
    <row r="236" ht="14.25" customHeight="1" s="862">
      <c r="F236" s="1128" t="n"/>
      <c r="G236" s="1129" t="n"/>
      <c r="H236" s="1129" t="n"/>
    </row>
    <row r="237" ht="14.25" customHeight="1" s="862">
      <c r="F237" s="1128" t="n"/>
      <c r="G237" s="1129" t="n"/>
      <c r="H237" s="1129" t="n"/>
    </row>
    <row r="238" ht="14.25" customHeight="1" s="862">
      <c r="F238" s="1128" t="n"/>
      <c r="G238" s="1129" t="n"/>
      <c r="H238" s="1129" t="n"/>
    </row>
    <row r="239" ht="14.25" customHeight="1" s="862">
      <c r="F239" s="1128" t="n"/>
      <c r="G239" s="1129" t="n"/>
      <c r="H239" s="1129" t="n"/>
    </row>
    <row r="240" ht="14.25" customHeight="1" s="862">
      <c r="F240" s="1128" t="n"/>
      <c r="G240" s="1129" t="n"/>
      <c r="H240" s="1129" t="n"/>
    </row>
    <row r="241" ht="14.25" customHeight="1" s="862">
      <c r="F241" s="1128" t="n"/>
      <c r="G241" s="1129" t="n"/>
      <c r="H241" s="1129" t="n"/>
    </row>
    <row r="242" ht="14.25" customHeight="1" s="862">
      <c r="F242" s="1128" t="n"/>
      <c r="G242" s="1129" t="n"/>
      <c r="H242" s="1129" t="n"/>
    </row>
    <row r="243" ht="14.25" customHeight="1" s="862">
      <c r="F243" s="1128" t="n"/>
      <c r="G243" s="1129" t="n"/>
      <c r="H243" s="1129" t="n"/>
    </row>
    <row r="244" ht="14.25" customHeight="1" s="862">
      <c r="F244" s="1128" t="n"/>
      <c r="G244" s="1129" t="n"/>
      <c r="H244" s="1129" t="n"/>
    </row>
    <row r="245" ht="14.25" customHeight="1" s="862">
      <c r="F245" s="1128" t="n"/>
      <c r="G245" s="1129" t="n"/>
      <c r="H245" s="1129" t="n"/>
    </row>
    <row r="246" ht="14.25" customHeight="1" s="862">
      <c r="F246" s="1128" t="n"/>
      <c r="G246" s="1129" t="n"/>
      <c r="H246" s="1129" t="n"/>
    </row>
    <row r="247" ht="14.25" customHeight="1" s="862">
      <c r="F247" s="1128" t="n"/>
      <c r="G247" s="1129" t="n"/>
      <c r="H247" s="1129" t="n"/>
    </row>
    <row r="248" ht="14.25" customHeight="1" s="862">
      <c r="F248" s="1128" t="n"/>
      <c r="G248" s="1129" t="n"/>
      <c r="H248" s="1129" t="n"/>
    </row>
    <row r="249" ht="14.25" customHeight="1" s="862">
      <c r="F249" s="1128" t="n"/>
      <c r="G249" s="1129" t="n"/>
      <c r="H249" s="1129" t="n"/>
    </row>
    <row r="250" ht="14.25" customHeight="1" s="862">
      <c r="F250" s="1128" t="n"/>
      <c r="G250" s="1129" t="n"/>
      <c r="H250" s="1129" t="n"/>
    </row>
    <row r="251" ht="14.25" customHeight="1" s="862">
      <c r="F251" s="1128" t="n"/>
      <c r="G251" s="1129" t="n"/>
      <c r="H251" s="1129" t="n"/>
    </row>
    <row r="252" ht="14.25" customHeight="1" s="862">
      <c r="F252" s="1128" t="n"/>
      <c r="G252" s="1129" t="n"/>
      <c r="H252" s="1129" t="n"/>
    </row>
    <row r="253" ht="14.25" customHeight="1" s="862">
      <c r="F253" s="1128" t="n"/>
      <c r="G253" s="1129" t="n"/>
      <c r="H253" s="1129" t="n"/>
    </row>
    <row r="254" ht="14.25" customHeight="1" s="862">
      <c r="F254" s="1128" t="n"/>
      <c r="G254" s="1129" t="n"/>
      <c r="H254" s="1129" t="n"/>
    </row>
    <row r="255" ht="14.25" customHeight="1" s="862">
      <c r="F255" s="1128" t="n"/>
      <c r="G255" s="1129" t="n"/>
      <c r="H255" s="1129" t="n"/>
    </row>
    <row r="256" ht="14.25" customHeight="1" s="862">
      <c r="F256" s="1128" t="n"/>
      <c r="G256" s="1129" t="n"/>
      <c r="H256" s="1129" t="n"/>
    </row>
    <row r="257" ht="14.25" customHeight="1" s="862">
      <c r="F257" s="1128" t="n"/>
      <c r="G257" s="1129" t="n"/>
      <c r="H257" s="1129"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140" zoomScaleNormal="90" zoomScalePageLayoutView="140" workbookViewId="0">
      <selection pane="topLeft" activeCell="F44" activeCellId="0" sqref="A11:S69"/>
    </sheetView>
  </sheetViews>
  <sheetFormatPr baseColWidth="8" defaultColWidth="9.11328125" defaultRowHeight="13.5" customHeight="0" zeroHeight="0" outlineLevelRow="0"/>
  <cols>
    <col width="21" customWidth="1" style="1157" min="1" max="1"/>
    <col width="12.67" customWidth="1" style="1158" min="2" max="13"/>
    <col width="9.109999999999999" customWidth="1" style="1159" min="14" max="16384"/>
  </cols>
  <sheetData>
    <row r="1" ht="61.5" customHeight="1" s="862">
      <c r="A1" s="1160" t="n"/>
      <c r="B1" s="1161" t="inlineStr">
        <is>
          <t>FIELD SERVICE QUALITY SURVEY (OFFLINE)</t>
        </is>
      </c>
      <c r="C1" s="875" t="n"/>
      <c r="D1" s="875" t="n"/>
      <c r="E1" s="875" t="n"/>
      <c r="F1" s="875" t="n"/>
      <c r="G1" s="875" t="n"/>
      <c r="H1" s="875" t="n"/>
      <c r="I1" s="875" t="n"/>
      <c r="J1" s="875" t="n"/>
      <c r="K1" s="872" t="n"/>
      <c r="L1" s="1162" t="n"/>
      <c r="M1" s="872" t="n"/>
    </row>
    <row r="2" ht="15" customHeight="1" s="862">
      <c r="A2" s="1163" t="inlineStr">
        <is>
          <t>DOCUMENT NUMBER</t>
        </is>
      </c>
      <c r="B2" s="1163" t="inlineStr">
        <is>
          <t>CLASSIFICATION</t>
        </is>
      </c>
      <c r="C2" s="872" t="n"/>
      <c r="D2" s="1163" t="inlineStr">
        <is>
          <t>DOCUMENT LEVEL</t>
        </is>
      </c>
      <c r="E2" s="872" t="n"/>
      <c r="F2" s="1163" t="inlineStr">
        <is>
          <t>REVISION NUMBER</t>
        </is>
      </c>
      <c r="G2" s="872" t="n"/>
      <c r="H2" s="1163" t="inlineStr">
        <is>
          <t>ISSUE DATE</t>
        </is>
      </c>
      <c r="I2" s="872" t="n"/>
      <c r="J2" s="1163" t="inlineStr">
        <is>
          <t>PREPARED BY</t>
        </is>
      </c>
      <c r="K2" s="872" t="n"/>
      <c r="L2" s="1163" t="inlineStr">
        <is>
          <t>APPROVAL</t>
        </is>
      </c>
      <c r="M2" s="872" t="n"/>
    </row>
    <row r="3" ht="26.25" customHeight="1" s="862">
      <c r="A3" s="1164" t="inlineStr">
        <is>
          <t>GL-WFT-OEPS-L2-10.03</t>
        </is>
      </c>
      <c r="B3" s="1165" t="inlineStr">
        <is>
          <t>CONTROLLED</t>
        </is>
      </c>
      <c r="C3" s="872" t="n"/>
      <c r="D3" s="1165" t="inlineStr">
        <is>
          <t>L5</t>
        </is>
      </c>
      <c r="E3" s="872" t="n"/>
      <c r="F3" s="1165" t="n">
        <v>1</v>
      </c>
      <c r="G3" s="872" t="n"/>
      <c r="H3" s="1166" t="inlineStr">
        <is>
          <t>09 SEP 2020</t>
        </is>
      </c>
      <c r="I3" s="872" t="n"/>
      <c r="J3" s="1167" t="inlineStr">
        <is>
          <t>TECHNICAL ADVISORY COMMITTEE</t>
        </is>
      </c>
      <c r="K3" s="872" t="n"/>
      <c r="L3" s="1165" t="inlineStr">
        <is>
          <t>OEP APPROVAL BOARD</t>
        </is>
      </c>
      <c r="M3" s="872" t="n"/>
    </row>
    <row r="4" ht="37.5" customHeight="1" s="862"/>
    <row r="5" ht="18" customHeight="1" s="862">
      <c r="A5" s="1168" t="inlineStr">
        <is>
          <t>Date</t>
        </is>
      </c>
      <c r="B5" s="1169">
        <f>'Master Data'!E24</f>
        <v/>
      </c>
      <c r="C5" s="1170" t="n"/>
      <c r="D5" s="1170" t="n"/>
      <c r="E5" s="1170" t="n"/>
      <c r="F5" s="1170" t="n"/>
      <c r="G5" s="1170" t="n"/>
      <c r="H5" s="1171" t="n"/>
      <c r="I5" s="1172" t="n"/>
      <c r="L5" s="1159" t="n"/>
      <c r="M5" s="1159" t="n"/>
    </row>
    <row r="6" ht="18" customHeight="1" s="862">
      <c r="A6" s="1173" t="inlineStr">
        <is>
          <t>Client</t>
        </is>
      </c>
      <c r="B6" s="1174">
        <f>'Master Data'!B3</f>
        <v/>
      </c>
      <c r="C6" s="1175" t="n"/>
      <c r="D6" s="1175" t="n"/>
      <c r="E6" s="1175" t="n"/>
      <c r="F6" s="1175" t="n"/>
      <c r="G6" s="1175" t="n"/>
      <c r="H6" s="1176" t="n"/>
      <c r="I6" s="1177" t="n"/>
      <c r="L6" s="1159" t="n"/>
      <c r="M6" s="1159" t="n"/>
    </row>
    <row r="7" ht="18" customHeight="1" s="862">
      <c r="A7" s="1173" t="inlineStr">
        <is>
          <t>Client Contact</t>
        </is>
      </c>
      <c r="B7" s="1174">
        <f>'Master Data'!B4</f>
        <v/>
      </c>
      <c r="C7" s="1175" t="n"/>
      <c r="D7" s="1175" t="n"/>
      <c r="E7" s="1175" t="n"/>
      <c r="F7" s="1175" t="n"/>
      <c r="G7" s="1175" t="n"/>
      <c r="H7" s="1176" t="n"/>
      <c r="I7" s="1177" t="n"/>
      <c r="L7" s="1159" t="n"/>
      <c r="M7" s="1159" t="n"/>
    </row>
    <row r="8" ht="18" customHeight="1" s="862">
      <c r="A8" s="1173" t="inlineStr">
        <is>
          <t>Project</t>
        </is>
      </c>
      <c r="B8" s="1174">
        <f>'Master Data'!E10</f>
        <v/>
      </c>
      <c r="C8" s="1175" t="n"/>
      <c r="D8" s="1175" t="n"/>
      <c r="E8" s="1175" t="n"/>
      <c r="F8" s="1175" t="n"/>
      <c r="G8" s="1175" t="n"/>
      <c r="H8" s="1176" t="n"/>
      <c r="I8" s="1177" t="n"/>
      <c r="L8" s="1159" t="n"/>
      <c r="M8" s="1159" t="n"/>
    </row>
    <row r="9" ht="18" customHeight="1" s="862">
      <c r="A9" s="1173" t="inlineStr">
        <is>
          <t>Location</t>
        </is>
      </c>
      <c r="B9" s="1174">
        <f>'Master Data'!E8</f>
        <v/>
      </c>
      <c r="C9" s="1175" t="n"/>
      <c r="D9" s="1175" t="n"/>
      <c r="E9" s="1175" t="n"/>
      <c r="F9" s="1175" t="n"/>
      <c r="G9" s="1175" t="n"/>
      <c r="H9" s="1176" t="n"/>
      <c r="I9" s="1177" t="n"/>
      <c r="L9" s="1159" t="n"/>
      <c r="M9" s="1159" t="n"/>
    </row>
    <row r="10" ht="18" customHeight="1" s="862">
      <c r="A10" s="1173" t="inlineStr">
        <is>
          <t>WFT Product Line</t>
        </is>
      </c>
      <c r="B10" s="1174" t="inlineStr">
        <is>
          <t>Completion</t>
        </is>
      </c>
      <c r="C10" s="1175" t="n"/>
      <c r="D10" s="1175" t="n"/>
      <c r="E10" s="1175" t="n"/>
      <c r="F10" s="1175" t="n"/>
      <c r="G10" s="1175" t="n"/>
      <c r="H10" s="1176" t="n"/>
      <c r="I10" s="1177" t="n"/>
      <c r="L10" s="1159" t="n"/>
      <c r="M10" s="1159" t="n"/>
    </row>
    <row r="11" ht="18" customHeight="1" s="862">
      <c r="A11" s="1178" t="inlineStr">
        <is>
          <t>WFT Contact</t>
        </is>
      </c>
      <c r="B11" s="1179" t="inlineStr">
        <is>
          <t>Samy Ahmed</t>
        </is>
      </c>
      <c r="C11" s="1180" t="n"/>
      <c r="D11" s="1180" t="n"/>
      <c r="E11" s="1180" t="n"/>
      <c r="F11" s="1180" t="n"/>
      <c r="G11" s="1180" t="n"/>
      <c r="H11" s="1181" t="n"/>
      <c r="I11" s="1177" t="n"/>
      <c r="L11" s="1159" t="n"/>
      <c r="M11" s="1159" t="n"/>
    </row>
    <row r="12" ht="40.5" customHeight="1" s="862">
      <c r="M12" s="1182" t="inlineStr">
        <is>
          <t>Mark 'X' Below Coloured Performance Score</t>
        </is>
      </c>
    </row>
    <row r="13" ht="18" customHeight="1" s="862">
      <c r="A13" s="1183" t="inlineStr">
        <is>
          <t>Personnel</t>
        </is>
      </c>
      <c r="B13" s="1184" t="n">
        <v>1</v>
      </c>
      <c r="C13" s="1185" t="n"/>
      <c r="D13" s="1186" t="n">
        <v>2</v>
      </c>
      <c r="E13" s="1185" t="n"/>
      <c r="F13" s="1187" t="n">
        <v>3</v>
      </c>
      <c r="G13" s="1185" t="n"/>
      <c r="H13" s="1188" t="n">
        <v>4</v>
      </c>
      <c r="I13" s="1185" t="n"/>
      <c r="J13" s="1189" t="n">
        <v>5</v>
      </c>
      <c r="K13" s="1185" t="n"/>
      <c r="L13" s="1190" t="n">
        <v>6</v>
      </c>
      <c r="M13" s="1191" t="n"/>
    </row>
    <row r="14" ht="18" customHeight="1" s="862">
      <c r="A14" s="1192" t="n"/>
      <c r="B14" s="1193" t="n"/>
      <c r="C14" s="1194" t="n"/>
      <c r="D14" s="1193" t="n"/>
      <c r="E14" s="1194" t="n"/>
      <c r="F14" s="1193" t="n"/>
      <c r="G14" s="1194" t="n"/>
      <c r="H14" s="1193" t="n"/>
      <c r="I14" s="1194" t="n"/>
      <c r="J14" s="1193" t="n"/>
      <c r="K14" s="1194" t="n"/>
      <c r="L14" s="1195" t="n"/>
      <c r="M14" s="1196" t="n"/>
    </row>
    <row r="15" ht="18" customHeight="1" s="862">
      <c r="A15" s="1192" t="n"/>
      <c r="B15" s="1197" t="inlineStr">
        <is>
          <t>Failure</t>
        </is>
      </c>
      <c r="C15" s="1198" t="n"/>
      <c r="D15" s="1197" t="inlineStr">
        <is>
          <t>Poor</t>
        </is>
      </c>
      <c r="E15" s="1198" t="n"/>
      <c r="F15" s="1197" t="inlineStr">
        <is>
          <t>Mediocre</t>
        </is>
      </c>
      <c r="G15" s="1198" t="n"/>
      <c r="H15" s="1197" t="inlineStr">
        <is>
          <t>Satisfactory</t>
        </is>
      </c>
      <c r="I15" s="1198" t="n"/>
      <c r="J15" s="1197" t="inlineStr">
        <is>
          <t>Good</t>
        </is>
      </c>
      <c r="K15" s="1198" t="n"/>
      <c r="L15" s="1199" t="inlineStr">
        <is>
          <t>Excellent</t>
        </is>
      </c>
      <c r="M15" s="1200" t="n"/>
    </row>
    <row r="16" ht="66" customHeight="1" s="862">
      <c r="A16" s="1201" t="n"/>
      <c r="B16" s="1202" t="inlineStr">
        <is>
          <t xml:space="preserve">Personnel are not sufficiently trained nor competent to provide  the specific service(s) requested.
</t>
        </is>
      </c>
      <c r="C16" s="1201" t="n"/>
      <c r="D16" s="1203" t="inlineStr">
        <is>
          <t>Insufficient trained and competent personnel to provide satisfactory service.</t>
        </is>
      </c>
      <c r="E16" s="1201" t="n"/>
      <c r="F16" s="1203" t="inlineStr">
        <is>
          <t>Personnel were not fully equipped to be able to provide completely satisfactory service.</t>
        </is>
      </c>
      <c r="G16" s="1201" t="n"/>
      <c r="H16" s="1203" t="inlineStr">
        <is>
          <t>Personnel are trained and competent to provide the requested service.</t>
        </is>
      </c>
      <c r="I16" s="1201" t="n"/>
      <c r="J16" s="1203" t="inlineStr">
        <is>
          <t>Personnel are competent and experienced in service provided.</t>
        </is>
      </c>
      <c r="K16" s="1201" t="n"/>
      <c r="L16" s="1204" t="inlineStr">
        <is>
          <t>Disciplined and professional. Performance is amongst the highest relative to peers.</t>
        </is>
      </c>
      <c r="M16" s="1205" t="n"/>
    </row>
    <row r="17" ht="15" customHeight="1" s="862">
      <c r="A17" s="1206" t="n"/>
      <c r="B17" s="1207" t="n"/>
      <c r="C17" s="1207" t="n"/>
      <c r="D17" s="1207" t="n"/>
      <c r="E17" s="1207" t="n"/>
      <c r="F17" s="1207" t="n"/>
      <c r="G17" s="1207" t="n"/>
      <c r="H17" s="1207" t="n"/>
      <c r="I17" s="1207" t="n"/>
      <c r="J17" s="1207" t="n"/>
      <c r="K17" s="1207" t="n"/>
      <c r="L17" s="1207" t="n"/>
      <c r="M17" s="1182" t="inlineStr">
        <is>
          <t>Mark 'X' Below Coloured Performance Score</t>
        </is>
      </c>
    </row>
    <row r="18" ht="18" customHeight="1" s="862">
      <c r="A18" s="1183" t="inlineStr">
        <is>
          <t>Equipment / Service</t>
        </is>
      </c>
      <c r="B18" s="1184" t="n">
        <v>1</v>
      </c>
      <c r="C18" s="1185" t="n"/>
      <c r="D18" s="1186" t="n">
        <v>2</v>
      </c>
      <c r="E18" s="1185" t="n"/>
      <c r="F18" s="1187" t="n">
        <v>3</v>
      </c>
      <c r="G18" s="1185" t="n"/>
      <c r="H18" s="1188" t="n">
        <v>4</v>
      </c>
      <c r="I18" s="1185" t="n"/>
      <c r="J18" s="1189" t="n">
        <v>5</v>
      </c>
      <c r="K18" s="1185" t="n"/>
      <c r="L18" s="1190" t="n">
        <v>6</v>
      </c>
      <c r="M18" s="1191" t="n"/>
    </row>
    <row r="19" ht="18" customHeight="1" s="862">
      <c r="A19" s="1192" t="n"/>
      <c r="B19" s="1193" t="n"/>
      <c r="C19" s="1194" t="n"/>
      <c r="D19" s="1193" t="n"/>
      <c r="E19" s="1194" t="n"/>
      <c r="F19" s="1193" t="n"/>
      <c r="G19" s="1194" t="n"/>
      <c r="H19" s="1193" t="n"/>
      <c r="I19" s="1194" t="n"/>
      <c r="J19" s="1193" t="n"/>
      <c r="K19" s="1194" t="n"/>
      <c r="L19" s="1195" t="n"/>
      <c r="M19" s="1196" t="n"/>
    </row>
    <row r="20" ht="18" customHeight="1" s="862">
      <c r="A20" s="1192" t="n"/>
      <c r="B20" s="1197" t="inlineStr">
        <is>
          <t>Failure</t>
        </is>
      </c>
      <c r="C20" s="1198" t="n"/>
      <c r="D20" s="1197" t="inlineStr">
        <is>
          <t>Poor</t>
        </is>
      </c>
      <c r="E20" s="1198" t="n"/>
      <c r="F20" s="1197" t="inlineStr">
        <is>
          <t>Mediocre</t>
        </is>
      </c>
      <c r="G20" s="1198" t="n"/>
      <c r="H20" s="1197" t="inlineStr">
        <is>
          <t>Satisfactory</t>
        </is>
      </c>
      <c r="I20" s="1198" t="n"/>
      <c r="J20" s="1197" t="inlineStr">
        <is>
          <t>Good</t>
        </is>
      </c>
      <c r="K20" s="1198" t="n"/>
      <c r="L20" s="1199" t="inlineStr">
        <is>
          <t>Excellent</t>
        </is>
      </c>
      <c r="M20" s="1200" t="n"/>
    </row>
    <row r="21" ht="66" customHeight="1" s="862">
      <c r="A21" s="1201" t="n"/>
      <c r="B21" s="1203" t="inlineStr">
        <is>
          <t xml:space="preserve">Equipment/Service not fit for use.
</t>
        </is>
      </c>
      <c r="C21" s="1201" t="n"/>
      <c r="D21" s="1203" t="inlineStr">
        <is>
          <t>Inadequate and/or unreliable equipment/service provided.</t>
        </is>
      </c>
      <c r="E21" s="1201" t="n"/>
      <c r="F21" s="1203" t="inlineStr">
        <is>
          <t xml:space="preserve">Equipment/Service performed but problems were encountered, and level of quality was below expectation. </t>
        </is>
      </c>
      <c r="G21" s="1201" t="n"/>
      <c r="H21" s="1203" t="inlineStr">
        <is>
          <t>The quantity and quality of equipment/service is adequate to provide the service requested.</t>
        </is>
      </c>
      <c r="I21" s="1201" t="n"/>
      <c r="J21" s="1203" t="inlineStr">
        <is>
          <t xml:space="preserve">The equipment/service provided is fit for use, well maintained and reliable. </t>
        </is>
      </c>
      <c r="K21" s="1201" t="n"/>
      <c r="L21" s="1204" t="inlineStr">
        <is>
          <t>Equipment/Service exceeded expectations. Performance is amongst the highest relative to peers.</t>
        </is>
      </c>
      <c r="M21" s="1205" t="n"/>
    </row>
    <row r="22" ht="15" customHeight="1" s="862">
      <c r="A22" s="1206" t="n"/>
      <c r="B22" s="1207" t="n"/>
      <c r="C22" s="1207" t="n"/>
      <c r="D22" s="1207" t="n"/>
      <c r="E22" s="1207" t="n"/>
      <c r="F22" s="1207" t="n"/>
      <c r="G22" s="1207" t="n"/>
      <c r="H22" s="1207" t="n"/>
      <c r="I22" s="1207" t="n"/>
      <c r="J22" s="1207" t="n"/>
      <c r="K22" s="1207" t="n"/>
      <c r="L22" s="1207" t="n"/>
      <c r="M22" s="1182" t="inlineStr">
        <is>
          <t>Mark 'X' Below Coloured Performance Score</t>
        </is>
      </c>
    </row>
    <row r="23" ht="18" customHeight="1" s="862">
      <c r="A23" s="1183" t="inlineStr">
        <is>
          <t>Communication</t>
        </is>
      </c>
      <c r="B23" s="1184" t="n">
        <v>1</v>
      </c>
      <c r="C23" s="1185" t="n"/>
      <c r="D23" s="1186" t="n">
        <v>2</v>
      </c>
      <c r="E23" s="1185" t="n"/>
      <c r="F23" s="1187" t="n">
        <v>3</v>
      </c>
      <c r="G23" s="1185" t="n"/>
      <c r="H23" s="1188" t="n">
        <v>4</v>
      </c>
      <c r="I23" s="1185" t="n"/>
      <c r="J23" s="1189" t="n">
        <v>5</v>
      </c>
      <c r="K23" s="1185" t="n"/>
      <c r="L23" s="1190" t="n">
        <v>6</v>
      </c>
      <c r="M23" s="1191" t="n"/>
    </row>
    <row r="24" ht="18" customHeight="1" s="862">
      <c r="A24" s="1192" t="n"/>
      <c r="B24" s="1193" t="n"/>
      <c r="C24" s="1194" t="n"/>
      <c r="D24" s="1193" t="n"/>
      <c r="E24" s="1194" t="n"/>
      <c r="F24" s="1193" t="n"/>
      <c r="G24" s="1194" t="n"/>
      <c r="H24" s="1193" t="n"/>
      <c r="I24" s="1194" t="n"/>
      <c r="J24" s="1193" t="n"/>
      <c r="K24" s="1194" t="n"/>
      <c r="L24" s="1195" t="n"/>
      <c r="M24" s="1196" t="n"/>
    </row>
    <row r="25" ht="18" customHeight="1" s="862">
      <c r="A25" s="1192" t="n"/>
      <c r="B25" s="1197" t="inlineStr">
        <is>
          <t>Failure</t>
        </is>
      </c>
      <c r="C25" s="1198" t="n"/>
      <c r="D25" s="1197" t="inlineStr">
        <is>
          <t>Poor</t>
        </is>
      </c>
      <c r="E25" s="1198" t="n"/>
      <c r="F25" s="1197" t="inlineStr">
        <is>
          <t>Mediocre</t>
        </is>
      </c>
      <c r="G25" s="1198" t="n"/>
      <c r="H25" s="1197" t="inlineStr">
        <is>
          <t>Satisfactory</t>
        </is>
      </c>
      <c r="I25" s="1198" t="n"/>
      <c r="J25" s="1197" t="inlineStr">
        <is>
          <t>Good</t>
        </is>
      </c>
      <c r="K25" s="1198" t="n"/>
      <c r="L25" s="1199" t="inlineStr">
        <is>
          <t>Excellent</t>
        </is>
      </c>
      <c r="M25" s="1200" t="n"/>
    </row>
    <row r="26" ht="66" customHeight="1" s="862">
      <c r="A26" s="1201" t="n"/>
      <c r="B26" s="1203" t="inlineStr">
        <is>
          <t>Failed to understand customer requirements and/or personnel do not function as a team.</t>
        </is>
      </c>
      <c r="C26" s="1201" t="n"/>
      <c r="D26" s="1203" t="inlineStr">
        <is>
          <t xml:space="preserve">Unsatisfactory communication with customer and/or between team members. </t>
        </is>
      </c>
      <c r="E26" s="1201" t="n"/>
      <c r="F26" s="1203" t="inlineStr">
        <is>
          <t>Low level of communication with customer and between team members.</t>
        </is>
      </c>
      <c r="G26" s="1201" t="n"/>
      <c r="H26" s="1203" t="inlineStr">
        <is>
          <t>Satisfactory communication with customer and between team members.</t>
        </is>
      </c>
      <c r="I26" s="1201" t="n"/>
      <c r="J26" s="1203" t="inlineStr">
        <is>
          <t>Good understanding of customer requirements. Personnel work well as a team.</t>
        </is>
      </c>
      <c r="K26" s="1201" t="n"/>
      <c r="L26" s="1204" t="inlineStr">
        <is>
          <t>Personnel are responsive to customer requirements and foster collaboration amongst all stakeholders</t>
        </is>
      </c>
      <c r="M26" s="1205" t="n"/>
    </row>
    <row r="27" ht="15" customHeight="1" s="862">
      <c r="A27" s="1206" t="n"/>
      <c r="B27" s="1207" t="n"/>
      <c r="C27" s="1207" t="n"/>
      <c r="D27" s="1207" t="n"/>
      <c r="E27" s="1207" t="n"/>
      <c r="F27" s="1207" t="n"/>
      <c r="G27" s="1207" t="n"/>
      <c r="H27" s="1207" t="n"/>
      <c r="I27" s="1207" t="n"/>
      <c r="J27" s="1207" t="n"/>
      <c r="K27" s="1207" t="n"/>
      <c r="L27" s="1207" t="n"/>
      <c r="M27" s="1182" t="inlineStr">
        <is>
          <t>Mark 'X' Below Coloured Performance Score</t>
        </is>
      </c>
    </row>
    <row r="28" ht="18" customHeight="1" s="862">
      <c r="A28" s="1183" t="inlineStr">
        <is>
          <t>HSSE</t>
        </is>
      </c>
      <c r="B28" s="1184" t="n">
        <v>1</v>
      </c>
      <c r="C28" s="1185" t="n"/>
      <c r="D28" s="1186" t="n">
        <v>2</v>
      </c>
      <c r="E28" s="1185" t="n"/>
      <c r="F28" s="1187" t="n">
        <v>3</v>
      </c>
      <c r="G28" s="1185" t="n"/>
      <c r="H28" s="1188" t="n">
        <v>4</v>
      </c>
      <c r="I28" s="1185" t="n"/>
      <c r="J28" s="1189" t="n">
        <v>5</v>
      </c>
      <c r="K28" s="1185" t="n"/>
      <c r="L28" s="1190" t="n">
        <v>6</v>
      </c>
      <c r="M28" s="1191" t="n"/>
    </row>
    <row r="29" ht="18" customHeight="1" s="862">
      <c r="A29" s="1192" t="n"/>
      <c r="B29" s="1208" t="n"/>
      <c r="C29" s="1194" t="n"/>
      <c r="D29" s="1208" t="n"/>
      <c r="E29" s="1194" t="n"/>
      <c r="F29" s="1208" t="n"/>
      <c r="G29" s="1194" t="n"/>
      <c r="H29" s="1208" t="n"/>
      <c r="I29" s="1194" t="n"/>
      <c r="J29" s="1208" t="n"/>
      <c r="K29" s="1194" t="n"/>
      <c r="L29" s="1209" t="n"/>
      <c r="M29" s="1196" t="n"/>
    </row>
    <row r="30" ht="18" customHeight="1" s="862">
      <c r="A30" s="1192" t="n"/>
      <c r="B30" s="1197" t="inlineStr">
        <is>
          <t>Failure</t>
        </is>
      </c>
      <c r="C30" s="1198" t="n"/>
      <c r="D30" s="1197" t="inlineStr">
        <is>
          <t>Poor</t>
        </is>
      </c>
      <c r="E30" s="1198" t="n"/>
      <c r="F30" s="1197" t="inlineStr">
        <is>
          <t>Mediocre</t>
        </is>
      </c>
      <c r="G30" s="1198" t="n"/>
      <c r="H30" s="1197" t="inlineStr">
        <is>
          <t>Satisfactory</t>
        </is>
      </c>
      <c r="I30" s="1198" t="n"/>
      <c r="J30" s="1197" t="inlineStr">
        <is>
          <t>Good</t>
        </is>
      </c>
      <c r="K30" s="1198" t="n"/>
      <c r="L30" s="1199" t="inlineStr">
        <is>
          <t>Excellent</t>
        </is>
      </c>
      <c r="M30" s="1200" t="n"/>
    </row>
    <row r="31" ht="66" customHeight="1" s="862">
      <c r="A31" s="1201" t="n"/>
      <c r="B31" s="1203" t="inlineStr">
        <is>
          <t xml:space="preserve">  Loss and/or damage occurred due to Weatherford.                        Ineffective HSSE processes.</t>
        </is>
      </c>
      <c r="C31" s="1201" t="n"/>
      <c r="D31" s="1203" t="inlineStr">
        <is>
          <t>Loss and/or damage occurred due to Weatherford.                           HSSE processes not followed.</t>
        </is>
      </c>
      <c r="E31" s="1201" t="n"/>
      <c r="F31" s="1203" t="inlineStr">
        <is>
          <t>No loss or damage encountered but HSSE processes were not visible / adhered to.</t>
        </is>
      </c>
      <c r="G31" s="1201" t="n"/>
      <c r="H31" s="1203" t="inlineStr">
        <is>
          <t>No loss or damage due to Weatherford. Effective HSSE processes and adherence.</t>
        </is>
      </c>
      <c r="I31" s="1201" t="n"/>
      <c r="J31" s="1203" t="inlineStr">
        <is>
          <t>All operations conducted in a safe manner, in accordance with Risk Assessment &amp; HSSE Processes.</t>
        </is>
      </c>
      <c r="K31" s="1201" t="n"/>
      <c r="L31" s="1204" t="inlineStr">
        <is>
          <t xml:space="preserve">HSSE performance exceeds expectations. Performance is amongst the highest relative to peers. </t>
        </is>
      </c>
      <c r="M31" s="1205" t="n"/>
    </row>
    <row r="32" ht="15" customHeight="1" s="862">
      <c r="A32" s="1206" t="n"/>
      <c r="B32" s="1207" t="n"/>
      <c r="C32" s="1207" t="n"/>
      <c r="D32" s="1207" t="n"/>
      <c r="E32" s="1207" t="n"/>
      <c r="F32" s="1207" t="n"/>
      <c r="G32" s="1207" t="n"/>
      <c r="H32" s="1207" t="n"/>
      <c r="I32" s="1207" t="n"/>
      <c r="J32" s="1207" t="n"/>
      <c r="K32" s="1207" t="n"/>
      <c r="L32" s="1207" t="n"/>
      <c r="M32" s="1182" t="inlineStr">
        <is>
          <t>Mark 'X' Below Coloured Performance Score</t>
        </is>
      </c>
    </row>
    <row r="33" ht="18" customHeight="1" s="862">
      <c r="A33" s="1183" t="inlineStr">
        <is>
          <t>Overall</t>
        </is>
      </c>
      <c r="B33" s="1184" t="n">
        <v>1</v>
      </c>
      <c r="C33" s="1185" t="n"/>
      <c r="D33" s="1186" t="n">
        <v>2</v>
      </c>
      <c r="E33" s="1185" t="n"/>
      <c r="F33" s="1187" t="n">
        <v>3</v>
      </c>
      <c r="G33" s="1185" t="n"/>
      <c r="H33" s="1188" t="n">
        <v>4</v>
      </c>
      <c r="I33" s="1185" t="n"/>
      <c r="J33" s="1189" t="n">
        <v>5</v>
      </c>
      <c r="K33" s="1185" t="n"/>
      <c r="L33" s="1190" t="n">
        <v>6</v>
      </c>
      <c r="M33" s="1191" t="n"/>
    </row>
    <row r="34" ht="18" customHeight="1" s="862">
      <c r="A34" s="1192" t="n"/>
      <c r="B34" s="1193" t="n"/>
      <c r="C34" s="1194" t="n"/>
      <c r="D34" s="1193" t="n"/>
      <c r="E34" s="1194" t="n"/>
      <c r="F34" s="1193" t="n"/>
      <c r="G34" s="1194" t="n"/>
      <c r="H34" s="1193" t="n"/>
      <c r="I34" s="1194" t="n"/>
      <c r="J34" s="1193" t="n"/>
      <c r="K34" s="1194" t="n"/>
      <c r="L34" s="1195" t="n"/>
      <c r="M34" s="1196" t="n"/>
    </row>
    <row r="35" ht="18" customHeight="1" s="862">
      <c r="A35" s="1192" t="n"/>
      <c r="B35" s="1197" t="inlineStr">
        <is>
          <t>Failure</t>
        </is>
      </c>
      <c r="C35" s="1198" t="n"/>
      <c r="D35" s="1197" t="inlineStr">
        <is>
          <t>Poor</t>
        </is>
      </c>
      <c r="E35" s="1198" t="n"/>
      <c r="F35" s="1197" t="inlineStr">
        <is>
          <t>Mediocre</t>
        </is>
      </c>
      <c r="G35" s="1198" t="n"/>
      <c r="H35" s="1197" t="inlineStr">
        <is>
          <t>Satisfactory</t>
        </is>
      </c>
      <c r="I35" s="1198" t="n"/>
      <c r="J35" s="1197" t="inlineStr">
        <is>
          <t>Good</t>
        </is>
      </c>
      <c r="K35" s="1198" t="n"/>
      <c r="L35" s="1199" t="inlineStr">
        <is>
          <t>Excellent</t>
        </is>
      </c>
      <c r="M35" s="1200" t="n"/>
    </row>
    <row r="36" ht="66" customHeight="1" s="862">
      <c r="A36" s="1201" t="n"/>
      <c r="B36" s="1203" t="inlineStr">
        <is>
          <t>The overall level of service does not meet expectations and is amongst the lowest relative to peers.</t>
        </is>
      </c>
      <c r="C36" s="1201" t="n"/>
      <c r="D36" s="1203" t="inlineStr">
        <is>
          <t xml:space="preserve"> The overall level of service does not meet expectations</t>
        </is>
      </c>
      <c r="E36" s="1201" t="n"/>
      <c r="F36" s="1203" t="inlineStr">
        <is>
          <t>The requirements were met but overall service quality was below expectation.</t>
        </is>
      </c>
      <c r="G36" s="1201" t="n"/>
      <c r="H36" s="1203" t="inlineStr">
        <is>
          <t>The level of service provided conforms to mutually agreed requirements, the first time.</t>
        </is>
      </c>
      <c r="I36" s="1201" t="n"/>
      <c r="J36" s="1203" t="inlineStr">
        <is>
          <t>The overall level of service is good and exceeded expectations in some area.</t>
        </is>
      </c>
      <c r="K36" s="1201" t="n"/>
      <c r="L36" s="1204" t="inlineStr">
        <is>
          <t xml:space="preserve">Level of service provided exceeds expectations and is amongst the highest relative to peers. </t>
        </is>
      </c>
      <c r="M36" s="1205" t="n"/>
    </row>
    <row r="37" ht="15" customHeight="1" s="862">
      <c r="A37" s="1210" t="n"/>
      <c r="B37" s="1207" t="n"/>
      <c r="C37" s="1207" t="n"/>
      <c r="D37" s="1207" t="n"/>
      <c r="E37" s="1207" t="n"/>
      <c r="F37" s="1207" t="n"/>
      <c r="G37" s="1207" t="n"/>
      <c r="H37" s="1207" t="n"/>
      <c r="I37" s="1207" t="n"/>
      <c r="J37" s="1207" t="n"/>
      <c r="K37" s="1207" t="n"/>
      <c r="L37" s="1207" t="n"/>
      <c r="M37" s="1207" t="n"/>
    </row>
    <row r="38" ht="18" customHeight="1" s="862">
      <c r="A38" s="1211" t="inlineStr">
        <is>
          <t xml:space="preserve">How Can We Improve?
</t>
        </is>
      </c>
      <c r="B38" s="1212" t="n"/>
      <c r="C38" s="1212" t="n"/>
      <c r="D38" s="1212" t="n"/>
      <c r="E38" s="1212" t="n"/>
      <c r="F38" s="1212" t="n"/>
      <c r="G38" s="1213" t="n"/>
      <c r="H38" s="1213" t="n"/>
      <c r="I38" s="1213" t="n"/>
      <c r="J38" s="1213" t="n"/>
      <c r="K38" s="1213" t="n"/>
      <c r="L38" s="1213" t="n"/>
      <c r="M38" s="1213" t="n"/>
    </row>
    <row r="39" ht="18" customHeight="1" s="862">
      <c r="B39" s="1214" t="n"/>
      <c r="C39" s="1005" t="n"/>
      <c r="D39" s="1005" t="n"/>
      <c r="E39" s="1005" t="n"/>
      <c r="F39" s="1005" t="n"/>
      <c r="G39" s="1005" t="n"/>
      <c r="H39" s="1005" t="n"/>
      <c r="I39" s="1005" t="n"/>
      <c r="J39" s="1005" t="n"/>
      <c r="K39" s="1005" t="n"/>
      <c r="L39" s="1005" t="n"/>
      <c r="M39" s="1215" t="n"/>
    </row>
    <row r="40" ht="84" customHeight="1" s="862">
      <c r="A40" s="1216" t="n"/>
      <c r="B40" s="1217" t="n"/>
      <c r="C40" s="1218" t="n"/>
      <c r="D40" s="1218" t="n"/>
      <c r="E40" s="1218" t="n"/>
      <c r="F40" s="1218" t="n"/>
      <c r="G40" s="1218" t="n"/>
      <c r="H40" s="1218" t="n"/>
      <c r="I40" s="1218" t="n"/>
      <c r="J40" s="1218" t="n"/>
      <c r="K40" s="1218" t="n"/>
      <c r="L40" s="1218" t="n"/>
      <c r="M40" s="1219" t="n"/>
    </row>
    <row r="41" ht="13.5" customFormat="1" customHeight="1" s="1220">
      <c r="A41" s="1221" t="n"/>
      <c r="B41" s="1222" t="n"/>
      <c r="C41" s="1222" t="n"/>
      <c r="D41" s="1222" t="n"/>
      <c r="E41" s="1222" t="n"/>
      <c r="F41" s="1222" t="n"/>
      <c r="G41" s="1222" t="n"/>
      <c r="H41" s="1222" t="n"/>
      <c r="I41" s="1222" t="n"/>
      <c r="J41" s="1222" t="n"/>
      <c r="K41" s="1222" t="n"/>
      <c r="L41" s="1222" t="n"/>
      <c r="M41" s="1222" t="n"/>
    </row>
    <row r="42" ht="13.5" customFormat="1" customHeight="1" s="1220">
      <c r="A42" s="1221" t="n"/>
      <c r="B42" s="1222" t="n"/>
      <c r="C42" s="1222" t="n"/>
      <c r="D42" s="1222" t="n"/>
      <c r="E42" s="1222" t="n"/>
      <c r="F42" s="1222" t="n"/>
      <c r="G42" s="1222" t="n"/>
      <c r="H42" s="1222" t="n"/>
      <c r="I42" s="1222" t="n"/>
      <c r="J42" s="1222" t="n"/>
      <c r="K42" s="1223"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220">
      <c r="A43" s="1221" t="n"/>
      <c r="B43" s="1222" t="n"/>
      <c r="C43" s="1222" t="n"/>
      <c r="D43" s="1222" t="n"/>
      <c r="E43" s="1222" t="n"/>
      <c r="F43" s="1222" t="n"/>
      <c r="G43" s="1222" t="n"/>
      <c r="H43" s="1222" t="n"/>
      <c r="I43" s="1222" t="n"/>
      <c r="J43" s="1222" t="n"/>
    </row>
    <row r="44" ht="13.5" customFormat="1" customHeight="1" s="1220">
      <c r="A44" s="1224">
        <f>'Master Data'!B4</f>
        <v/>
      </c>
      <c r="E44" s="1222" t="n"/>
      <c r="F44" s="1224">
        <f>'Master Data'!B21</f>
        <v/>
      </c>
      <c r="J44" s="1222" t="n"/>
    </row>
    <row r="45" ht="13.5" customFormat="1" customHeight="1" s="1220">
      <c r="A45" s="897" t="n"/>
      <c r="B45" s="897" t="n"/>
      <c r="C45" s="897" t="n"/>
      <c r="D45" s="897" t="n"/>
      <c r="E45" s="1222" t="n"/>
      <c r="F45" s="897" t="n"/>
      <c r="G45" s="897" t="n"/>
      <c r="H45" s="897" t="n"/>
      <c r="I45" s="897" t="n"/>
      <c r="J45" s="1225" t="n"/>
    </row>
    <row r="46" ht="13.5" customFormat="1" customHeight="1" s="1220">
      <c r="A46" s="1226" t="inlineStr">
        <is>
          <t>Customer Representative</t>
        </is>
      </c>
      <c r="B46" s="1227" t="n"/>
      <c r="C46" s="1227" t="n"/>
      <c r="D46" s="1227" t="n"/>
      <c r="E46" s="1228" t="n"/>
      <c r="F46" s="1226" t="inlineStr">
        <is>
          <t>Weatherford Representative</t>
        </is>
      </c>
      <c r="G46" s="1228" t="n"/>
      <c r="H46" s="1228" t="n"/>
      <c r="I46" s="1228" t="n"/>
    </row>
    <row r="47" ht="23.25" customFormat="1" customHeight="1" s="1220">
      <c r="A47" s="1229" t="n"/>
      <c r="B47" s="1228" t="n"/>
      <c r="C47" s="1228" t="n"/>
      <c r="D47" s="1228" t="n"/>
      <c r="E47" s="1228" t="n"/>
      <c r="F47" s="1228" t="n"/>
      <c r="G47" s="1228" t="n"/>
      <c r="H47" s="1228" t="n"/>
      <c r="I47" s="1228" t="n"/>
      <c r="J47" s="1222" t="n"/>
    </row>
    <row r="48" ht="13.5" customFormat="1" customHeight="1" s="1220">
      <c r="A48" s="1224" t="n"/>
      <c r="E48" s="1228" t="n"/>
      <c r="F48" s="1224" t="n"/>
      <c r="J48" s="1222" t="n"/>
    </row>
    <row r="49" ht="13.5" customFormat="1" customHeight="1" s="1220">
      <c r="A49" s="897" t="n"/>
      <c r="B49" s="897" t="n"/>
      <c r="C49" s="897" t="n"/>
      <c r="D49" s="897" t="n"/>
      <c r="E49" s="1228" t="n"/>
      <c r="F49" s="897" t="n"/>
      <c r="G49" s="897" t="n"/>
      <c r="H49" s="897" t="n"/>
      <c r="I49" s="897" t="n"/>
      <c r="J49" s="1225" t="n"/>
    </row>
    <row r="50" ht="13.5" customFormat="1" customHeight="1" s="1220">
      <c r="A50" s="1226" t="inlineStr">
        <is>
          <t>Signature</t>
        </is>
      </c>
      <c r="B50" s="1227" t="inlineStr">
        <is>
          <t> </t>
        </is>
      </c>
      <c r="C50" s="1227" t="n"/>
      <c r="D50" s="1227" t="n"/>
      <c r="E50" s="1228" t="n"/>
      <c r="F50" s="1226" t="inlineStr">
        <is>
          <t>Signature</t>
        </is>
      </c>
      <c r="G50" s="1228" t="n"/>
      <c r="H50" s="1228" t="n"/>
      <c r="I50" s="1228" t="n"/>
    </row>
    <row r="51" ht="13.5" customFormat="1" customHeight="1" s="1220">
      <c r="A51" s="1221" t="n"/>
      <c r="B51" s="1222" t="n"/>
      <c r="C51" s="1222" t="n"/>
      <c r="D51" s="1222" t="n"/>
      <c r="E51" s="1222" t="n"/>
      <c r="F51" s="1222" t="n"/>
      <c r="G51" s="1222" t="n"/>
      <c r="H51" s="1222" t="n"/>
      <c r="I51" s="1222" t="n"/>
      <c r="J51" s="1222" t="n"/>
    </row>
    <row r="52" ht="12.75" customFormat="1" customHeight="1" s="1220">
      <c r="A52" s="1221" t="n"/>
      <c r="B52" s="1230" t="n"/>
      <c r="C52" s="1230" t="n"/>
      <c r="D52" s="1230" t="n"/>
      <c r="E52" s="1230" t="n"/>
      <c r="F52" s="1230" t="n"/>
      <c r="G52" s="1230" t="n"/>
      <c r="H52" s="1230" t="n"/>
      <c r="I52" s="1230" t="n"/>
      <c r="J52" s="1230" t="n"/>
    </row>
    <row r="53" ht="13.5" customHeight="1" s="862">
      <c r="A53" s="1231"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62"/>
    <row r="55" ht="13.5" customHeight="1" s="862"/>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Y17" activeCellId="1" sqref="A11:S69 Y17"/>
    </sheetView>
  </sheetViews>
  <sheetFormatPr baseColWidth="8" defaultColWidth="9.11328125" defaultRowHeight="14.25" customHeight="0" zeroHeight="0" outlineLevelRow="0"/>
  <cols>
    <col width="1.66" customWidth="1" style="910" min="1" max="1"/>
    <col width="25.89" customWidth="1" style="910" min="2" max="2"/>
    <col width="29.56" customWidth="1" style="910" min="3" max="3"/>
    <col width="3.55" customWidth="1" style="910" min="4" max="4"/>
    <col width="3.67" customWidth="1" style="910" min="5" max="5"/>
    <col width="3.55" customWidth="1" style="910" min="6" max="40"/>
    <col width="13.11" customWidth="1" style="910" min="41" max="41"/>
    <col width="1.66" customWidth="1" style="910" min="42" max="42"/>
    <col width="9.109999999999999" customWidth="1" style="910" min="43" max="43"/>
    <col hidden="1" width="9.109999999999999" customWidth="1" style="910" min="44" max="80"/>
    <col width="9.109999999999999" customWidth="1" style="910" min="81" max="16384"/>
  </cols>
  <sheetData>
    <row r="1" ht="6.75" customHeight="1" s="862">
      <c r="A1" s="1232" t="n"/>
      <c r="B1" s="1232" t="n"/>
      <c r="C1" s="1232" t="n"/>
      <c r="D1" s="1232" t="n"/>
      <c r="E1" s="1232" t="n"/>
      <c r="F1" s="1232" t="n"/>
      <c r="G1" s="1232" t="n"/>
      <c r="H1" s="1232" t="n"/>
      <c r="I1" s="1232" t="n"/>
      <c r="J1" s="1232" t="n"/>
      <c r="K1" s="1232" t="n"/>
      <c r="L1" s="1232" t="n"/>
      <c r="M1" s="1232" t="n"/>
      <c r="N1" s="1232" t="n"/>
      <c r="O1" s="1232" t="n"/>
      <c r="P1" s="1232" t="n"/>
      <c r="Q1" s="1232" t="n"/>
      <c r="R1" s="1232" t="n"/>
      <c r="S1" s="1232" t="n"/>
      <c r="T1" s="1232" t="n"/>
      <c r="U1" s="1232" t="n"/>
      <c r="V1" s="1232" t="n"/>
      <c r="W1" s="1232" t="n"/>
      <c r="X1" s="1232" t="n"/>
      <c r="Y1" s="1232" t="n"/>
      <c r="Z1" s="1232" t="n"/>
      <c r="AA1" s="1232" t="n"/>
      <c r="AB1" s="1232" t="n"/>
      <c r="AC1" s="1232" t="n"/>
      <c r="AD1" s="1232" t="n"/>
      <c r="AE1" s="1232" t="n"/>
      <c r="AF1" s="1232" t="n"/>
      <c r="AG1" s="1232" t="n"/>
      <c r="AH1" s="1232" t="n"/>
      <c r="AI1" s="1232" t="n"/>
      <c r="AJ1" s="1232" t="n"/>
      <c r="AK1" s="1232" t="n"/>
      <c r="AL1" s="1232" t="n"/>
      <c r="AM1" s="1232" t="n"/>
      <c r="AN1" s="1232" t="n"/>
      <c r="AO1" s="1232" t="n"/>
      <c r="AP1" s="1232" t="n"/>
    </row>
    <row r="2" ht="28.5" customHeight="1" s="862">
      <c r="A2" s="1232" t="n"/>
      <c r="B2" s="1233" t="n"/>
      <c r="C2" s="1234" t="inlineStr">
        <is>
          <t>PERSONNEL AND EQUIPMENT TIMESHEET</t>
        </is>
      </c>
      <c r="D2" s="1235" t="n"/>
      <c r="E2" s="1235" t="n"/>
      <c r="F2" s="1235" t="n"/>
      <c r="G2" s="1235" t="n"/>
      <c r="H2" s="1235" t="n"/>
      <c r="I2" s="1235" t="n"/>
      <c r="J2" s="1235" t="n"/>
      <c r="K2" s="1235" t="n"/>
      <c r="L2" s="1235" t="n"/>
      <c r="M2" s="1235" t="n"/>
      <c r="N2" s="1235" t="n"/>
      <c r="O2" s="1235" t="n"/>
      <c r="P2" s="1235" t="n"/>
      <c r="Q2" s="1235" t="n"/>
      <c r="R2" s="1235" t="n"/>
      <c r="S2" s="1235" t="n"/>
      <c r="T2" s="1235" t="n"/>
      <c r="U2" s="1235" t="n"/>
      <c r="V2" s="1235" t="n"/>
      <c r="W2" s="1235" t="n"/>
      <c r="X2" s="1235" t="n"/>
      <c r="Y2" s="1235" t="n"/>
      <c r="Z2" s="1235" t="n"/>
      <c r="AA2" s="1235" t="n"/>
      <c r="AB2" s="1235" t="n"/>
      <c r="AC2" s="1235" t="n"/>
      <c r="AD2" s="1235" t="n"/>
      <c r="AE2" s="1235" t="n"/>
      <c r="AF2" s="1235" t="n"/>
      <c r="AG2" s="1235" t="n"/>
      <c r="AH2" s="1235" t="n"/>
      <c r="AI2" s="1235" t="n"/>
      <c r="AJ2" s="1235" t="n"/>
      <c r="AK2" s="1235" t="n"/>
      <c r="AL2" s="1235" t="n"/>
      <c r="AM2" s="1236" t="n"/>
      <c r="AN2" s="1237" t="n"/>
      <c r="AO2" s="1238" t="n"/>
      <c r="AP2" s="1232" t="n"/>
    </row>
    <row r="3" ht="10.5" customHeight="1" s="862">
      <c r="A3" s="1232" t="n"/>
      <c r="B3" s="1239" t="n"/>
      <c r="C3" s="1240" t="inlineStr">
        <is>
          <t xml:space="preserve">Document Number </t>
        </is>
      </c>
      <c r="D3" s="1240" t="inlineStr">
        <is>
          <t xml:space="preserve">Function/ Devesion </t>
        </is>
      </c>
      <c r="E3" s="1235" t="n"/>
      <c r="F3" s="1235" t="n"/>
      <c r="G3" s="1235" t="n"/>
      <c r="H3" s="1235" t="n"/>
      <c r="I3" s="1241" t="n"/>
      <c r="J3" s="1240" t="inlineStr">
        <is>
          <t xml:space="preserve">Owner </t>
        </is>
      </c>
      <c r="K3" s="1235" t="n"/>
      <c r="L3" s="1235" t="n"/>
      <c r="M3" s="1235" t="n"/>
      <c r="N3" s="1235" t="n"/>
      <c r="O3" s="1241" t="n"/>
      <c r="P3" s="1240" t="inlineStr">
        <is>
          <t>SQ Review</t>
        </is>
      </c>
      <c r="Q3" s="1235" t="n"/>
      <c r="R3" s="1235" t="n"/>
      <c r="S3" s="1235" t="n"/>
      <c r="T3" s="1235" t="n"/>
      <c r="U3" s="1241" t="n"/>
      <c r="V3" s="1240" t="inlineStr">
        <is>
          <t xml:space="preserve">Approved by </t>
        </is>
      </c>
      <c r="W3" s="1235" t="n"/>
      <c r="X3" s="1235" t="n"/>
      <c r="Y3" s="1235" t="n"/>
      <c r="Z3" s="1235" t="n"/>
      <c r="AA3" s="1241" t="n"/>
      <c r="AB3" s="1240" t="inlineStr">
        <is>
          <t xml:space="preserve">Rev Date </t>
        </is>
      </c>
      <c r="AC3" s="1235" t="n"/>
      <c r="AD3" s="1235" t="n"/>
      <c r="AE3" s="1235" t="n"/>
      <c r="AF3" s="1235" t="n"/>
      <c r="AG3" s="1241" t="n"/>
      <c r="AH3" s="1240" t="inlineStr">
        <is>
          <t xml:space="preserve">Rev # </t>
        </is>
      </c>
      <c r="AI3" s="1235" t="n"/>
      <c r="AJ3" s="1235" t="n"/>
      <c r="AK3" s="1235" t="n"/>
      <c r="AL3" s="1241" t="n"/>
      <c r="AM3" s="1242" t="n"/>
      <c r="AN3" s="1243" t="n"/>
      <c r="AO3" s="1244" t="n"/>
      <c r="AP3" s="1232" t="n"/>
    </row>
    <row r="4" ht="11.25" customHeight="1" s="862">
      <c r="A4" s="1232" t="n"/>
      <c r="B4" s="1239" t="n"/>
      <c r="C4" s="1245" t="inlineStr">
        <is>
          <t>UAE-COMP-OEPS-L5-036</t>
        </is>
      </c>
      <c r="D4" s="1246" t="inlineStr">
        <is>
          <t xml:space="preserve">Completion </t>
        </is>
      </c>
      <c r="E4" s="1235" t="n"/>
      <c r="F4" s="1235" t="n"/>
      <c r="G4" s="1235" t="n"/>
      <c r="H4" s="1235" t="n"/>
      <c r="I4" s="1241" t="n"/>
      <c r="J4" s="1246" t="inlineStr">
        <is>
          <t>Hamed Hassan</t>
        </is>
      </c>
      <c r="K4" s="1235" t="n"/>
      <c r="L4" s="1235" t="n"/>
      <c r="M4" s="1235" t="n"/>
      <c r="N4" s="1235" t="n"/>
      <c r="O4" s="1241" t="n"/>
      <c r="P4" s="1246" t="inlineStr">
        <is>
          <t xml:space="preserve">Lambi Leslie </t>
        </is>
      </c>
      <c r="Q4" s="1235" t="n"/>
      <c r="R4" s="1235" t="n"/>
      <c r="S4" s="1235" t="n"/>
      <c r="T4" s="1235" t="n"/>
      <c r="U4" s="1241" t="n"/>
      <c r="V4" s="1246" t="inlineStr">
        <is>
          <t>Bassem Mahmoud</t>
        </is>
      </c>
      <c r="W4" s="1235" t="n"/>
      <c r="X4" s="1235" t="n"/>
      <c r="Y4" s="1235" t="n"/>
      <c r="Z4" s="1235" t="n"/>
      <c r="AA4" s="1241" t="n"/>
      <c r="AB4" s="1247" t="n">
        <v>45627</v>
      </c>
      <c r="AC4" s="1235" t="n"/>
      <c r="AD4" s="1235" t="n"/>
      <c r="AE4" s="1235" t="n"/>
      <c r="AF4" s="1235" t="n"/>
      <c r="AG4" s="1241" t="n"/>
      <c r="AH4" s="1246" t="n">
        <v>1</v>
      </c>
      <c r="AI4" s="1235" t="n"/>
      <c r="AJ4" s="1235" t="n"/>
      <c r="AK4" s="1235" t="n"/>
      <c r="AL4" s="1241" t="n"/>
      <c r="AM4" s="1242" t="n"/>
      <c r="AN4" s="1243" t="n"/>
      <c r="AO4" s="1244" t="n"/>
      <c r="AP4" s="1232" t="n"/>
    </row>
    <row r="5" ht="19.5" customHeight="1" s="862">
      <c r="A5" s="1232" t="n"/>
      <c r="B5" s="1239" t="n"/>
      <c r="C5" s="1248" t="inlineStr">
        <is>
          <t xml:space="preserve">Field : </t>
        </is>
      </c>
      <c r="D5" s="1249">
        <f>'Master Data'!E8</f>
        <v/>
      </c>
      <c r="E5" s="1235" t="n"/>
      <c r="F5" s="1235" t="n"/>
      <c r="G5" s="1235" t="n"/>
      <c r="H5" s="1241" t="n"/>
      <c r="I5" s="1250" t="inlineStr">
        <is>
          <t xml:space="preserve">Contract # : </t>
        </is>
      </c>
      <c r="J5" s="1235" t="n"/>
      <c r="K5" s="1235" t="n"/>
      <c r="L5" s="1235" t="n"/>
      <c r="M5" s="1235" t="n"/>
      <c r="N5" s="1235" t="n"/>
      <c r="O5" s="1241" t="n"/>
      <c r="P5" s="1251">
        <f>'Master Data'!B10</f>
        <v/>
      </c>
      <c r="Q5" s="1235" t="n"/>
      <c r="R5" s="1235" t="n"/>
      <c r="S5" s="1235" t="n"/>
      <c r="T5" s="1235" t="n"/>
      <c r="U5" s="1235" t="n"/>
      <c r="V5" s="1250" t="inlineStr">
        <is>
          <t>FTL / Service Ticket #:</t>
        </is>
      </c>
      <c r="W5" s="1235" t="n"/>
      <c r="X5" s="1235" t="n"/>
      <c r="Y5" s="1235" t="n"/>
      <c r="Z5" s="1235" t="n"/>
      <c r="AA5" s="1241" t="n"/>
      <c r="AB5" s="1252">
        <f>'Master Data'!B15</f>
        <v/>
      </c>
      <c r="AC5" s="1235" t="n"/>
      <c r="AD5" s="1235" t="n"/>
      <c r="AE5" s="1235" t="n"/>
      <c r="AF5" s="1235" t="n"/>
      <c r="AG5" s="1235" t="n"/>
      <c r="AH5" s="1235" t="n"/>
      <c r="AI5" s="1235" t="n"/>
      <c r="AJ5" s="1235" t="n"/>
      <c r="AK5" s="1235" t="n"/>
      <c r="AL5" s="1241" t="n"/>
      <c r="AM5" s="1242" t="n"/>
      <c r="AN5" s="1243" t="n"/>
      <c r="AO5" s="1244" t="n"/>
      <c r="AP5" s="1232" t="n"/>
    </row>
    <row r="6" ht="18.75" customHeight="1" s="862">
      <c r="A6" s="1232" t="n"/>
      <c r="B6" s="1253" t="n"/>
      <c r="C6" s="1248" t="inlineStr">
        <is>
          <t>Rig name:</t>
        </is>
      </c>
      <c r="D6" s="1249">
        <f>'Master Data'!E11</f>
        <v/>
      </c>
      <c r="E6" s="1235" t="n"/>
      <c r="F6" s="1235" t="n"/>
      <c r="G6" s="1235" t="n"/>
      <c r="H6" s="1241" t="n"/>
      <c r="I6" s="1250" t="inlineStr">
        <is>
          <t>Customer RO  #:</t>
        </is>
      </c>
      <c r="J6" s="1235" t="n"/>
      <c r="K6" s="1235" t="n"/>
      <c r="L6" s="1235" t="n"/>
      <c r="M6" s="1235" t="n"/>
      <c r="N6" s="1235" t="n"/>
      <c r="O6" s="1241" t="n"/>
      <c r="P6" s="1251">
        <f>'Master Data'!B11</f>
        <v/>
      </c>
      <c r="Q6" s="1235" t="n"/>
      <c r="R6" s="1235" t="n"/>
      <c r="S6" s="1235" t="n"/>
      <c r="T6" s="1235" t="n"/>
      <c r="U6" s="1235" t="n"/>
      <c r="V6" s="1250" t="inlineStr">
        <is>
          <t xml:space="preserve">Date </t>
        </is>
      </c>
      <c r="W6" s="1235" t="n"/>
      <c r="X6" s="1235" t="n"/>
      <c r="Y6" s="1235" t="n"/>
      <c r="Z6" s="1235" t="n"/>
      <c r="AA6" s="1241" t="n"/>
      <c r="AB6" s="1254" t="inlineStr">
        <is>
          <t xml:space="preserve">From </t>
        </is>
      </c>
      <c r="AC6" s="1235" t="n"/>
      <c r="AD6" s="1255">
        <f>'Master Data'!E12</f>
        <v/>
      </c>
      <c r="AE6" s="1235" t="n"/>
      <c r="AF6" s="1235" t="n"/>
      <c r="AG6" s="1235" t="n"/>
      <c r="AH6" s="1256" t="inlineStr">
        <is>
          <t>To:</t>
        </is>
      </c>
      <c r="AI6" s="1257">
        <f>'Master Data'!E15</f>
        <v/>
      </c>
      <c r="AJ6" s="1235" t="n"/>
      <c r="AK6" s="1235" t="n"/>
      <c r="AL6" s="1241" t="n"/>
      <c r="AM6" s="1258" t="n"/>
      <c r="AN6" s="1259" t="n"/>
      <c r="AO6" s="1260" t="n"/>
      <c r="AP6" s="1232" t="n"/>
    </row>
    <row r="7" ht="15" customHeight="1" s="862">
      <c r="A7" s="1232" t="n"/>
      <c r="B7" s="1261" t="inlineStr">
        <is>
          <t xml:space="preserve">Weatherford </t>
        </is>
      </c>
      <c r="C7" s="1248" t="inlineStr">
        <is>
          <t>Well Number:</t>
        </is>
      </c>
      <c r="D7" s="1249">
        <f>'Master Data'!E10</f>
        <v/>
      </c>
      <c r="E7" s="1235" t="n"/>
      <c r="F7" s="1235" t="n"/>
      <c r="G7" s="1235" t="n"/>
      <c r="H7" s="1241" t="n"/>
      <c r="I7" s="1250" t="inlineStr">
        <is>
          <t>Services performed:</t>
        </is>
      </c>
      <c r="J7" s="1235" t="n"/>
      <c r="K7" s="1235" t="n"/>
      <c r="L7" s="1235" t="n"/>
      <c r="M7" s="1235" t="n"/>
      <c r="N7" s="1235" t="n"/>
      <c r="O7" s="1241" t="n"/>
      <c r="P7" s="1262">
        <f>'Master Data'!E4</f>
        <v/>
      </c>
      <c r="Q7" s="1235" t="n"/>
      <c r="R7" s="1235" t="n"/>
      <c r="S7" s="1235" t="n"/>
      <c r="T7" s="1235" t="n"/>
      <c r="U7" s="1235" t="n"/>
      <c r="V7" s="1235" t="n"/>
      <c r="W7" s="1235" t="n"/>
      <c r="X7" s="1235" t="n"/>
      <c r="Y7" s="1235" t="n"/>
      <c r="Z7" s="1235" t="n"/>
      <c r="AA7" s="1235" t="n"/>
      <c r="AB7" s="1235" t="n"/>
      <c r="AC7" s="1235" t="n"/>
      <c r="AD7" s="1235" t="n"/>
      <c r="AE7" s="1235" t="n"/>
      <c r="AF7" s="1235" t="n"/>
      <c r="AG7" s="1235" t="n"/>
      <c r="AH7" s="1235" t="n"/>
      <c r="AI7" s="1235" t="n"/>
      <c r="AJ7" s="1235" t="n"/>
      <c r="AK7" s="1235" t="n"/>
      <c r="AL7" s="1241" t="n"/>
      <c r="AM7" s="1263" t="inlineStr">
        <is>
          <t>AON-STD-PET-24-0</t>
        </is>
      </c>
      <c r="AN7" s="1235" t="n"/>
      <c r="AO7" s="1241" t="n"/>
      <c r="AP7" s="1232" t="n"/>
    </row>
    <row r="8" ht="15" customHeight="1" s="862">
      <c r="A8" s="1232" t="n"/>
      <c r="B8" s="1081" t="n"/>
      <c r="C8" s="1264" t="n"/>
      <c r="D8" s="1265">
        <f>IF(TEXT(AD6,"mmm")=TEXT(AI6,"mmm"),TEXT(AD6,"mmm/yyy"),IF(TEXT(AD6,"yyyy")=TEXT(AI6,"yyyy"),TEXT(AD6,"mmm")&amp;" - "&amp;TEXT(AI6,"mmm")&amp;"/"&amp;TEXT(AI6,"yyyy"),TEXT(AD6,"mmm/yyyy")&amp;" - "&amp;TEXT(AI6,"mmm/yyyy")))</f>
        <v/>
      </c>
      <c r="E8" s="1235" t="n"/>
      <c r="F8" s="1235" t="n"/>
      <c r="G8" s="1235" t="n"/>
      <c r="H8" s="1235" t="n"/>
      <c r="I8" s="1235" t="n"/>
      <c r="J8" s="1235" t="n"/>
      <c r="K8" s="1235" t="n"/>
      <c r="L8" s="1235" t="n"/>
      <c r="M8" s="1235" t="n"/>
      <c r="N8" s="1235" t="n"/>
      <c r="O8" s="1235" t="n"/>
      <c r="P8" s="1235" t="n"/>
      <c r="Q8" s="1235" t="n"/>
      <c r="R8" s="1235" t="n"/>
      <c r="S8" s="1235" t="n"/>
      <c r="T8" s="1235" t="n"/>
      <c r="U8" s="1235" t="n"/>
      <c r="V8" s="1235" t="n"/>
      <c r="W8" s="1235" t="n"/>
      <c r="X8" s="1235" t="n"/>
      <c r="Y8" s="1235" t="n"/>
      <c r="Z8" s="1235" t="n"/>
      <c r="AA8" s="1235" t="n"/>
      <c r="AB8" s="1235" t="n"/>
      <c r="AC8" s="1235" t="n"/>
      <c r="AD8" s="1235" t="n"/>
      <c r="AE8" s="1235" t="n"/>
      <c r="AF8" s="1235" t="n"/>
      <c r="AG8" s="1235" t="n"/>
      <c r="AH8" s="1235" t="n"/>
      <c r="AI8" s="1235" t="n"/>
      <c r="AJ8" s="1235" t="n"/>
      <c r="AK8" s="1235" t="n"/>
      <c r="AL8" s="1241" t="n"/>
      <c r="AM8" s="1266" t="inlineStr">
        <is>
          <t>ADNOC ONSHORE</t>
        </is>
      </c>
      <c r="AN8" s="1235" t="n"/>
      <c r="AO8" s="1241" t="n"/>
      <c r="AP8" s="1267" t="n"/>
    </row>
    <row r="9" ht="18" customHeight="1" s="862">
      <c r="A9" s="1232" t="n"/>
      <c r="B9" s="1268" t="inlineStr">
        <is>
          <t xml:space="preserve">Eng Name </t>
        </is>
      </c>
      <c r="C9" s="1268" t="inlineStr">
        <is>
          <t xml:space="preserve">Designation </t>
        </is>
      </c>
      <c r="D9" s="1269">
        <f>$AD$6</f>
        <v/>
      </c>
      <c r="E9" s="1269">
        <f>D9+1</f>
        <v/>
      </c>
      <c r="F9" s="1269">
        <f>E9+1</f>
        <v/>
      </c>
      <c r="G9" s="1269">
        <f>F9+1</f>
        <v/>
      </c>
      <c r="H9" s="1269">
        <f>G9+1</f>
        <v/>
      </c>
      <c r="I9" s="1269">
        <f>H9+1</f>
        <v/>
      </c>
      <c r="J9" s="1269">
        <f>I9+1</f>
        <v/>
      </c>
      <c r="K9" s="1269">
        <f>J9+1</f>
        <v/>
      </c>
      <c r="L9" s="1269">
        <f>K9+1</f>
        <v/>
      </c>
      <c r="M9" s="1269">
        <f>L9+1</f>
        <v/>
      </c>
      <c r="N9" s="1269">
        <f>M9+1</f>
        <v/>
      </c>
      <c r="O9" s="1269">
        <f>N9+1</f>
        <v/>
      </c>
      <c r="P9" s="1269">
        <f>O9+1</f>
        <v/>
      </c>
      <c r="Q9" s="1269">
        <f>P9+1</f>
        <v/>
      </c>
      <c r="R9" s="1269">
        <f>Q9+1</f>
        <v/>
      </c>
      <c r="S9" s="1269">
        <f>R9+1</f>
        <v/>
      </c>
      <c r="T9" s="1269">
        <f>S9+1</f>
        <v/>
      </c>
      <c r="U9" s="1269">
        <f>T9+1</f>
        <v/>
      </c>
      <c r="V9" s="1269">
        <f>U9+1</f>
        <v/>
      </c>
      <c r="W9" s="1269">
        <f>V9+1</f>
        <v/>
      </c>
      <c r="X9" s="1269">
        <f>W9+1</f>
        <v/>
      </c>
      <c r="Y9" s="1269">
        <f>X9+1</f>
        <v/>
      </c>
      <c r="Z9" s="1269">
        <f>Y9+1</f>
        <v/>
      </c>
      <c r="AA9" s="1269">
        <f>Z9+1</f>
        <v/>
      </c>
      <c r="AB9" s="1269">
        <f>AA9+1</f>
        <v/>
      </c>
      <c r="AC9" s="1269">
        <f>AB9+1</f>
        <v/>
      </c>
      <c r="AD9" s="1269">
        <f>AC9+1</f>
        <v/>
      </c>
      <c r="AE9" s="1269">
        <f>AD9+1</f>
        <v/>
      </c>
      <c r="AF9" s="1269">
        <f>AE9+1</f>
        <v/>
      </c>
      <c r="AG9" s="1269">
        <f>AF9+1</f>
        <v/>
      </c>
      <c r="AH9" s="1269">
        <f>AG9+1</f>
        <v/>
      </c>
      <c r="AI9" s="1269">
        <f>AH9+1</f>
        <v/>
      </c>
      <c r="AJ9" s="1269">
        <f>AI9+1</f>
        <v/>
      </c>
      <c r="AK9" s="1269">
        <f>AJ9+1</f>
        <v/>
      </c>
      <c r="AL9" s="1269">
        <f>AK9+1</f>
        <v/>
      </c>
      <c r="AM9" s="1270" t="inlineStr">
        <is>
          <t>Total Days</t>
        </is>
      </c>
      <c r="AN9" s="1243" t="n"/>
      <c r="AO9" s="1244" t="n"/>
      <c r="AP9" s="1232" t="n"/>
    </row>
    <row r="10" ht="15.75" customHeight="1" s="862">
      <c r="A10" s="1232" t="n"/>
      <c r="B10" s="1239" t="n"/>
      <c r="C10" s="1239" t="n"/>
      <c r="D10" s="1253" t="n"/>
      <c r="E10" s="1253" t="n"/>
      <c r="F10" s="1253" t="n"/>
      <c r="G10" s="1253" t="n"/>
      <c r="H10" s="1253" t="n"/>
      <c r="I10" s="1253" t="n"/>
      <c r="J10" s="1253" t="n"/>
      <c r="K10" s="1253" t="n"/>
      <c r="L10" s="1253" t="n"/>
      <c r="M10" s="1253" t="n"/>
      <c r="N10" s="1253" t="n"/>
      <c r="O10" s="1253" t="n"/>
      <c r="P10" s="1253" t="n"/>
      <c r="Q10" s="1253" t="n"/>
      <c r="R10" s="1253" t="n"/>
      <c r="S10" s="1253" t="n"/>
      <c r="T10" s="1253" t="n"/>
      <c r="U10" s="1253" t="n"/>
      <c r="V10" s="1253" t="n"/>
      <c r="W10" s="1253" t="n"/>
      <c r="X10" s="1253" t="n"/>
      <c r="Y10" s="1253" t="n"/>
      <c r="Z10" s="1253" t="n"/>
      <c r="AA10" s="1253" t="n"/>
      <c r="AB10" s="1253" t="n"/>
      <c r="AC10" s="1253" t="n"/>
      <c r="AD10" s="1253" t="n"/>
      <c r="AE10" s="1253" t="n"/>
      <c r="AF10" s="1253" t="n"/>
      <c r="AG10" s="1253" t="n"/>
      <c r="AH10" s="1253" t="n"/>
      <c r="AI10" s="1253" t="n"/>
      <c r="AJ10" s="1253" t="n"/>
      <c r="AK10" s="1253" t="n"/>
      <c r="AL10" s="1253" t="n"/>
      <c r="AM10" s="1242" t="n"/>
      <c r="AN10" s="1243" t="n"/>
      <c r="AO10" s="1244" t="n"/>
      <c r="AP10" s="1232" t="n"/>
    </row>
    <row r="11" ht="13.5" customHeight="1" s="862">
      <c r="A11" s="1232" t="n"/>
      <c r="B11" s="1253" t="n"/>
      <c r="C11" s="1253" t="n"/>
      <c r="D11" s="1268" t="inlineStr">
        <is>
          <t>Personnel</t>
        </is>
      </c>
      <c r="E11" s="1235" t="n"/>
      <c r="F11" s="1235" t="n"/>
      <c r="G11" s="1235" t="n"/>
      <c r="H11" s="1235" t="n"/>
      <c r="I11" s="1235" t="n"/>
      <c r="J11" s="1235" t="n"/>
      <c r="K11" s="1235" t="n"/>
      <c r="L11" s="1235" t="n"/>
      <c r="M11" s="1235" t="n"/>
      <c r="N11" s="1235" t="n"/>
      <c r="O11" s="1235" t="n"/>
      <c r="P11" s="1235" t="n"/>
      <c r="Q11" s="1235" t="n"/>
      <c r="R11" s="1235" t="n"/>
      <c r="S11" s="1235" t="n"/>
      <c r="T11" s="1235" t="n"/>
      <c r="U11" s="1235" t="n"/>
      <c r="V11" s="1235" t="n"/>
      <c r="W11" s="1235" t="n"/>
      <c r="X11" s="1235" t="n"/>
      <c r="Y11" s="1235" t="n"/>
      <c r="Z11" s="1235" t="n"/>
      <c r="AA11" s="1235" t="n"/>
      <c r="AB11" s="1235" t="n"/>
      <c r="AC11" s="1235" t="n"/>
      <c r="AD11" s="1235" t="n"/>
      <c r="AE11" s="1235" t="n"/>
      <c r="AF11" s="1235" t="n"/>
      <c r="AG11" s="1235" t="n"/>
      <c r="AH11" s="1235" t="n"/>
      <c r="AI11" s="1235" t="n"/>
      <c r="AJ11" s="1235" t="n"/>
      <c r="AK11" s="1235" t="n"/>
      <c r="AL11" s="1241" t="n"/>
      <c r="AM11" s="1258" t="n"/>
      <c r="AN11" s="1259" t="n"/>
      <c r="AO11" s="1260" t="n"/>
      <c r="AP11" s="1232" t="n"/>
    </row>
    <row r="12" ht="14.25" customFormat="1" customHeight="1" s="913">
      <c r="A12" s="1271" t="n"/>
      <c r="B12" s="1272">
        <f>IF('Master Data'!H3="","",'Master Data'!H3)</f>
        <v/>
      </c>
      <c r="C12" s="1272">
        <f>IF('Master Data'!I3="","",'Master Data'!I3)</f>
        <v/>
      </c>
      <c r="D12" s="1273" t="inlineStr">
        <is>
          <t>x</t>
        </is>
      </c>
      <c r="E12" s="1273" t="inlineStr">
        <is>
          <t>x</t>
        </is>
      </c>
      <c r="F12" s="1273" t="inlineStr">
        <is>
          <t>x</t>
        </is>
      </c>
      <c r="G12" s="1273" t="inlineStr">
        <is>
          <t>x</t>
        </is>
      </c>
      <c r="H12" s="1273" t="inlineStr">
        <is>
          <t>x</t>
        </is>
      </c>
      <c r="I12" s="1273" t="inlineStr">
        <is>
          <t>x</t>
        </is>
      </c>
      <c r="J12" s="1273" t="inlineStr">
        <is>
          <t>x</t>
        </is>
      </c>
      <c r="K12" s="1273" t="inlineStr">
        <is>
          <t>x</t>
        </is>
      </c>
      <c r="L12" s="1273" t="inlineStr">
        <is>
          <t>x</t>
        </is>
      </c>
      <c r="M12" s="1273" t="inlineStr">
        <is>
          <t>x</t>
        </is>
      </c>
      <c r="N12" s="1273" t="inlineStr">
        <is>
          <t>x</t>
        </is>
      </c>
      <c r="O12" s="1273" t="inlineStr">
        <is>
          <t>x</t>
        </is>
      </c>
      <c r="P12" s="1273" t="inlineStr">
        <is>
          <t>x</t>
        </is>
      </c>
      <c r="Q12" s="1273" t="inlineStr">
        <is>
          <t>x</t>
        </is>
      </c>
      <c r="R12" s="1273" t="inlineStr">
        <is>
          <t>x</t>
        </is>
      </c>
      <c r="S12" s="1273" t="inlineStr">
        <is>
          <t>x</t>
        </is>
      </c>
      <c r="T12" s="1273" t="inlineStr">
        <is>
          <t>x</t>
        </is>
      </c>
      <c r="U12" s="1273" t="inlineStr">
        <is>
          <t>x</t>
        </is>
      </c>
      <c r="V12" s="1273" t="inlineStr">
        <is>
          <t>x</t>
        </is>
      </c>
      <c r="W12" s="1273" t="inlineStr">
        <is>
          <t>x</t>
        </is>
      </c>
      <c r="X12" s="1273" t="inlineStr">
        <is>
          <t>x</t>
        </is>
      </c>
      <c r="Y12" s="1273" t="inlineStr">
        <is>
          <t>x</t>
        </is>
      </c>
      <c r="Z12" s="1273" t="inlineStr">
        <is>
          <t>x</t>
        </is>
      </c>
      <c r="AA12" s="1273" t="n"/>
      <c r="AB12" s="1273" t="n"/>
      <c r="AC12" s="1273" t="n"/>
      <c r="AD12" s="1273" t="n"/>
      <c r="AE12" s="1273" t="n"/>
      <c r="AF12" s="1273" t="n"/>
      <c r="AG12" s="1273" t="n"/>
      <c r="AH12" s="1273" t="n"/>
      <c r="AI12" s="1273" t="n"/>
      <c r="AJ12" s="1273" t="n"/>
      <c r="AK12" s="1273" t="n"/>
      <c r="AL12" s="1273" t="n"/>
      <c r="AM12" s="1274">
        <f>IF(COUNTA(D12:AL12)=0,"",COUNTA(D12:AL12))</f>
        <v/>
      </c>
      <c r="AN12" s="1235" t="n"/>
      <c r="AO12" s="1241" t="n"/>
      <c r="AP12" s="1271" t="n"/>
      <c r="AR12" s="913">
        <f>IF(D12="X",1,0)</f>
        <v/>
      </c>
      <c r="AS12" s="913">
        <f>IF(E12="X",1,0)</f>
        <v/>
      </c>
      <c r="AT12" s="913">
        <f>IF(F12="X",1,0)</f>
        <v/>
      </c>
      <c r="AU12" s="913">
        <f>IF(G12="X",1,0)</f>
        <v/>
      </c>
      <c r="AV12" s="913">
        <f>IF(H12="X",1,0)</f>
        <v/>
      </c>
      <c r="AW12" s="913">
        <f>IF(I12="X",1,0)</f>
        <v/>
      </c>
      <c r="AX12" s="913">
        <f>IF(J12="X",1,0)</f>
        <v/>
      </c>
      <c r="AY12" s="913">
        <f>IF(K12="X",1,0)</f>
        <v/>
      </c>
      <c r="AZ12" s="913">
        <f>IF(L12="X",1,0)</f>
        <v/>
      </c>
      <c r="BA12" s="913">
        <f>IF(M12="X",1,0)</f>
        <v/>
      </c>
      <c r="BB12" s="913">
        <f>IF(N12="X",1,0)</f>
        <v/>
      </c>
      <c r="BC12" s="913">
        <f>IF(O12="X",1,0)</f>
        <v/>
      </c>
      <c r="BD12" s="913">
        <f>IF(P12="X",1,0)</f>
        <v/>
      </c>
      <c r="BE12" s="913">
        <f>IF(Q12="X",1,0)</f>
        <v/>
      </c>
      <c r="BF12" s="913">
        <f>IF(R12="X",1,0)</f>
        <v/>
      </c>
      <c r="BG12" s="913">
        <f>IF(S12="X",1,0)</f>
        <v/>
      </c>
      <c r="BH12" s="913">
        <f>IF(T12="X",1,0)</f>
        <v/>
      </c>
      <c r="BI12" s="913">
        <f>IF(U12="X",1,0)</f>
        <v/>
      </c>
      <c r="BJ12" s="913">
        <f>IF(V12="X",1,0)</f>
        <v/>
      </c>
      <c r="BK12" s="913">
        <f>IF(W12="X",1,0)</f>
        <v/>
      </c>
      <c r="BL12" s="913">
        <f>IF(X12="X",1,0)</f>
        <v/>
      </c>
      <c r="BM12" s="913">
        <f>IF(Y12="X",1,0)</f>
        <v/>
      </c>
      <c r="BN12" s="913">
        <f>IF(Z12="X",1,0)</f>
        <v/>
      </c>
      <c r="BO12" s="913">
        <f>IF(AA12="X",1,0)</f>
        <v/>
      </c>
      <c r="BP12" s="913">
        <f>IF(AB12="X",1,0)</f>
        <v/>
      </c>
      <c r="BQ12" s="913">
        <f>IF(AC12="X",1,0)</f>
        <v/>
      </c>
      <c r="BR12" s="913">
        <f>IF(AD12="X",1,0)</f>
        <v/>
      </c>
      <c r="BS12" s="913">
        <f>IF(AE12="X",1,0)</f>
        <v/>
      </c>
      <c r="BT12" s="913">
        <f>IF(AF12="X",1,0)</f>
        <v/>
      </c>
      <c r="BU12" s="913">
        <f>IF(AG12="X",1,0)</f>
        <v/>
      </c>
      <c r="BV12" s="913">
        <f>IF(AH12="X",1,0)</f>
        <v/>
      </c>
      <c r="BW12" s="913">
        <f>IF(AI12="X",1,0)</f>
        <v/>
      </c>
      <c r="BX12" s="913">
        <f>IF(AJ12="X",1,0)</f>
        <v/>
      </c>
      <c r="BY12" s="913">
        <f>IF(AK12="X",1,0)</f>
        <v/>
      </c>
      <c r="BZ12" s="913">
        <f>IF(AL12="X",1,0)</f>
        <v/>
      </c>
      <c r="CA12" s="913">
        <f>IF(AM12="X",1,0)</f>
        <v/>
      </c>
      <c r="CB12" s="913">
        <f>IF(AN12="X",1,0)</f>
        <v/>
      </c>
    </row>
    <row r="13" ht="14.25" customFormat="1" customHeight="1" s="913">
      <c r="A13" s="1271" t="n"/>
      <c r="B13" s="1272">
        <f>IF('Master Data'!H4="","",'Master Data'!H4)</f>
        <v/>
      </c>
      <c r="C13" s="1272">
        <f>IF('Master Data'!I4="","",'Master Data'!I4)</f>
        <v/>
      </c>
      <c r="D13" s="1273" t="n"/>
      <c r="E13" s="1273" t="n"/>
      <c r="F13" s="1273" t="n"/>
      <c r="G13" s="1273" t="inlineStr">
        <is>
          <t>x</t>
        </is>
      </c>
      <c r="H13" s="1273" t="inlineStr">
        <is>
          <t>x</t>
        </is>
      </c>
      <c r="I13" s="1273" t="inlineStr">
        <is>
          <t>x</t>
        </is>
      </c>
      <c r="J13" s="1273" t="n"/>
      <c r="K13" s="1273" t="n"/>
      <c r="L13" s="1273" t="n"/>
      <c r="M13" s="1273" t="n"/>
      <c r="N13" s="1273" t="n"/>
      <c r="O13" s="1273" t="n"/>
      <c r="P13" s="1273" t="n"/>
      <c r="Q13" s="1273" t="n"/>
      <c r="R13" s="1273" t="n"/>
      <c r="S13" s="1273" t="n"/>
      <c r="T13" s="1273" t="n"/>
      <c r="U13" s="1273" t="n"/>
      <c r="V13" s="1273" t="n"/>
      <c r="W13" s="1273" t="n"/>
      <c r="X13" s="1273" t="n"/>
      <c r="Y13" s="1273" t="n"/>
      <c r="Z13" s="1273" t="n"/>
      <c r="AA13" s="1273" t="n"/>
      <c r="AB13" s="1275" t="n"/>
      <c r="AC13" s="1275" t="n"/>
      <c r="AD13" s="1275" t="n"/>
      <c r="AE13" s="1275" t="n"/>
      <c r="AF13" s="1275" t="n"/>
      <c r="AG13" s="1275" t="n"/>
      <c r="AH13" s="1275" t="n"/>
      <c r="AI13" s="1275" t="n"/>
      <c r="AJ13" s="1273" t="n"/>
      <c r="AK13" s="1273" t="n"/>
      <c r="AL13" s="1273" t="n"/>
      <c r="AM13" s="1274">
        <f>IF(COUNTA(D13:AL13)=0,"",COUNTA(D13:AL13))</f>
        <v/>
      </c>
      <c r="AN13" s="1235" t="n"/>
      <c r="AO13" s="1241" t="n"/>
      <c r="AP13" s="1271" t="n"/>
      <c r="AR13" s="913">
        <f>IF(D13="X",1,0)</f>
        <v/>
      </c>
      <c r="AS13" s="913">
        <f>IF(E13="X",1,0)</f>
        <v/>
      </c>
      <c r="AT13" s="913">
        <f>IF(F13="X",1,0)</f>
        <v/>
      </c>
      <c r="AU13" s="913">
        <f>IF(G13="X",1,0)</f>
        <v/>
      </c>
      <c r="AV13" s="913">
        <f>IF(H13="X",1,0)</f>
        <v/>
      </c>
      <c r="AW13" s="913">
        <f>IF(I13="X",1,0)</f>
        <v/>
      </c>
      <c r="AX13" s="913">
        <f>IF(J13="X",1,0)</f>
        <v/>
      </c>
      <c r="AY13" s="913">
        <f>IF(K13="X",1,0)</f>
        <v/>
      </c>
      <c r="AZ13" s="913">
        <f>IF(L13="X",1,0)</f>
        <v/>
      </c>
      <c r="BA13" s="913">
        <f>IF(M13="X",1,0)</f>
        <v/>
      </c>
      <c r="BB13" s="913">
        <f>IF(N13="X",1,0)</f>
        <v/>
      </c>
      <c r="BC13" s="913">
        <f>IF(O13="X",1,0)</f>
        <v/>
      </c>
      <c r="BD13" s="913">
        <f>IF(P13="X",1,0)</f>
        <v/>
      </c>
      <c r="BE13" s="913">
        <f>IF(Q13="X",1,0)</f>
        <v/>
      </c>
      <c r="BF13" s="913">
        <f>IF(R13="X",1,0)</f>
        <v/>
      </c>
      <c r="BG13" s="913">
        <f>IF(S13="X",1,0)</f>
        <v/>
      </c>
      <c r="BH13" s="913">
        <f>IF(T13="X",1,0)</f>
        <v/>
      </c>
      <c r="BI13" s="913">
        <f>IF(U13="X",1,0)</f>
        <v/>
      </c>
      <c r="BJ13" s="913">
        <f>IF(V13="X",1,0)</f>
        <v/>
      </c>
      <c r="BK13" s="913">
        <f>IF(W13="X",1,0)</f>
        <v/>
      </c>
      <c r="BL13" s="913">
        <f>IF(X13="X",1,0)</f>
        <v/>
      </c>
      <c r="BM13" s="913">
        <f>IF(Y13="X",1,0)</f>
        <v/>
      </c>
      <c r="BN13" s="913">
        <f>IF(Z13="X",1,0)</f>
        <v/>
      </c>
      <c r="BO13" s="913">
        <f>IF(AA13="X",1,0)</f>
        <v/>
      </c>
      <c r="BP13" s="913">
        <f>IF(AB13="X",1,0)</f>
        <v/>
      </c>
      <c r="BQ13" s="913">
        <f>IF(AC13="X",1,0)</f>
        <v/>
      </c>
      <c r="BR13" s="913">
        <f>IF(AD13="X",1,0)</f>
        <v/>
      </c>
      <c r="BS13" s="913">
        <f>IF(AE13="X",1,0)</f>
        <v/>
      </c>
      <c r="BT13" s="913">
        <f>IF(AF13="X",1,0)</f>
        <v/>
      </c>
      <c r="BU13" s="913">
        <f>IF(AG13="X",1,0)</f>
        <v/>
      </c>
      <c r="BV13" s="913">
        <f>IF(AH13="X",1,0)</f>
        <v/>
      </c>
      <c r="BW13" s="913">
        <f>IF(AI13="X",1,0)</f>
        <v/>
      </c>
      <c r="BX13" s="913">
        <f>IF(AJ13="X",1,0)</f>
        <v/>
      </c>
      <c r="BY13" s="913">
        <f>IF(AK13="X",1,0)</f>
        <v/>
      </c>
      <c r="BZ13" s="913">
        <f>IF(AL13="X",1,0)</f>
        <v/>
      </c>
      <c r="CA13" s="913">
        <f>IF(AM13="X",1,0)</f>
        <v/>
      </c>
      <c r="CB13" s="913">
        <f>IF(AN13="X",1,0)</f>
        <v/>
      </c>
    </row>
    <row r="14" ht="14.25" customFormat="1" customHeight="1" s="913">
      <c r="A14" s="1271" t="n"/>
      <c r="B14" s="1272">
        <f>IF('Master Data'!H8="","",'Master Data'!H8)</f>
        <v/>
      </c>
      <c r="C14" s="1272">
        <f>IF('Master Data'!I8="","",'Master Data'!I8)</f>
        <v/>
      </c>
      <c r="D14" s="1273" t="n"/>
      <c r="E14" s="1273" t="n"/>
      <c r="F14" s="1273" t="n"/>
      <c r="G14" s="1273" t="n"/>
      <c r="H14" s="1273" t="n"/>
      <c r="I14" s="1273" t="n"/>
      <c r="J14" s="1273" t="n"/>
      <c r="K14" s="1273" t="n"/>
      <c r="L14" s="1273" t="n"/>
      <c r="M14" s="1273" t="n"/>
      <c r="N14" s="1273" t="n"/>
      <c r="O14" s="1273" t="n"/>
      <c r="P14" s="1273" t="n"/>
      <c r="Q14" s="1273" t="n"/>
      <c r="R14" s="1273" t="n"/>
      <c r="S14" s="1273" t="n"/>
      <c r="T14" s="1273" t="n"/>
      <c r="U14" s="1273" t="n"/>
      <c r="V14" s="1273" t="n"/>
      <c r="W14" s="1273" t="n"/>
      <c r="X14" s="1273" t="n"/>
      <c r="Y14" s="1273" t="n"/>
      <c r="Z14" s="1273" t="n"/>
      <c r="AA14" s="1275" t="n"/>
      <c r="AB14" s="1275" t="n"/>
      <c r="AC14" s="1275" t="n"/>
      <c r="AD14" s="1275" t="n"/>
      <c r="AE14" s="1275" t="n"/>
      <c r="AF14" s="1275" t="n"/>
      <c r="AG14" s="1275" t="n"/>
      <c r="AH14" s="1275" t="n"/>
      <c r="AI14" s="1273" t="n"/>
      <c r="AJ14" s="1273" t="n"/>
      <c r="AK14" s="1273" t="n"/>
      <c r="AL14" s="1273" t="n"/>
      <c r="AM14" s="1274">
        <f>IF(COUNTA(D14:AL14)=0,"",COUNTA(D14:AL14))</f>
        <v/>
      </c>
      <c r="AN14" s="1235" t="n"/>
      <c r="AO14" s="1241" t="n"/>
      <c r="AP14" s="1271" t="n"/>
      <c r="AR14" s="913">
        <f>IF(D14="X",1,0)</f>
        <v/>
      </c>
      <c r="AS14" s="913">
        <f>IF(E14="X",1,0)</f>
        <v/>
      </c>
      <c r="AT14" s="913">
        <f>IF(F14="X",1,0)</f>
        <v/>
      </c>
      <c r="AU14" s="913">
        <f>IF(G14="X",1,0)</f>
        <v/>
      </c>
      <c r="AV14" s="913">
        <f>IF(H14="X",1,0)</f>
        <v/>
      </c>
      <c r="AW14" s="913">
        <f>IF(I14="X",1,0)</f>
        <v/>
      </c>
      <c r="AX14" s="913">
        <f>IF(J14="X",1,0)</f>
        <v/>
      </c>
      <c r="AY14" s="913">
        <f>IF(K14="X",1,0)</f>
        <v/>
      </c>
      <c r="AZ14" s="913">
        <f>IF(L14="X",1,0)</f>
        <v/>
      </c>
      <c r="BA14" s="913">
        <f>IF(M14="X",1,0)</f>
        <v/>
      </c>
      <c r="BB14" s="913">
        <f>IF(N14="X",1,0)</f>
        <v/>
      </c>
      <c r="BC14" s="913">
        <f>IF(O14="X",1,0)</f>
        <v/>
      </c>
      <c r="BD14" s="913">
        <f>IF(P14="X",1,0)</f>
        <v/>
      </c>
      <c r="BE14" s="913">
        <f>IF(Q14="X",1,0)</f>
        <v/>
      </c>
      <c r="BF14" s="913">
        <f>IF(R14="X",1,0)</f>
        <v/>
      </c>
      <c r="BG14" s="913">
        <f>IF(S14="X",1,0)</f>
        <v/>
      </c>
      <c r="BH14" s="913">
        <f>IF(T14="X",1,0)</f>
        <v/>
      </c>
      <c r="BI14" s="913">
        <f>IF(U14="X",1,0)</f>
        <v/>
      </c>
      <c r="BJ14" s="913">
        <f>IF(V14="X",1,0)</f>
        <v/>
      </c>
      <c r="BK14" s="913">
        <f>IF(W14="X",1,0)</f>
        <v/>
      </c>
      <c r="BL14" s="913">
        <f>IF(X14="X",1,0)</f>
        <v/>
      </c>
      <c r="BM14" s="913">
        <f>IF(Y14="X",1,0)</f>
        <v/>
      </c>
      <c r="BN14" s="913">
        <f>IF(Z14="X",1,0)</f>
        <v/>
      </c>
      <c r="BO14" s="913">
        <f>IF(AA14="X",1,0)</f>
        <v/>
      </c>
      <c r="BP14" s="913">
        <f>IF(AB14="X",1,0)</f>
        <v/>
      </c>
      <c r="BQ14" s="913">
        <f>IF(AC14="X",1,0)</f>
        <v/>
      </c>
      <c r="BR14" s="913">
        <f>IF(AD14="X",1,0)</f>
        <v/>
      </c>
      <c r="BS14" s="913">
        <f>IF(AE14="X",1,0)</f>
        <v/>
      </c>
      <c r="BT14" s="913">
        <f>IF(AF14="X",1,0)</f>
        <v/>
      </c>
      <c r="BU14" s="913">
        <f>IF(AG14="X",1,0)</f>
        <v/>
      </c>
      <c r="BV14" s="913">
        <f>IF(AH14="X",1,0)</f>
        <v/>
      </c>
      <c r="BW14" s="913">
        <f>IF(AI14="X",1,0)</f>
        <v/>
      </c>
      <c r="BX14" s="913">
        <f>IF(AJ14="X",1,0)</f>
        <v/>
      </c>
      <c r="BY14" s="913">
        <f>IF(AK14="X",1,0)</f>
        <v/>
      </c>
      <c r="BZ14" s="913">
        <f>IF(AL14="X",1,0)</f>
        <v/>
      </c>
      <c r="CA14" s="913">
        <f>IF(AM14="X",1,0)</f>
        <v/>
      </c>
      <c r="CB14" s="913">
        <f>IF(AN14="X",1,0)</f>
        <v/>
      </c>
    </row>
    <row r="15" ht="14.25" customFormat="1" customHeight="1" s="913">
      <c r="A15" s="1271" t="n"/>
      <c r="B15" s="1274">
        <f>IF('Master Data'!H10="","",'Master Data'!H10)</f>
        <v/>
      </c>
      <c r="C15" s="1274">
        <f>IF('Master Data'!I10="","",'Master Data'!I10)</f>
        <v/>
      </c>
      <c r="D15" s="1273" t="n"/>
      <c r="E15" s="1273" t="n"/>
      <c r="F15" s="1273" t="n"/>
      <c r="G15" s="1273" t="n"/>
      <c r="H15" s="1273" t="n"/>
      <c r="I15" s="1273" t="n"/>
      <c r="J15" s="1273" t="n"/>
      <c r="K15" s="1273" t="n"/>
      <c r="L15" s="1273" t="n"/>
      <c r="M15" s="1273" t="n"/>
      <c r="N15" s="1273" t="n"/>
      <c r="O15" s="1273" t="n"/>
      <c r="P15" s="1273" t="n"/>
      <c r="Q15" s="1273" t="n"/>
      <c r="R15" s="1273" t="n"/>
      <c r="S15" s="1273" t="n"/>
      <c r="T15" s="1273" t="n"/>
      <c r="U15" s="1273" t="n"/>
      <c r="V15" s="1273" t="n"/>
      <c r="W15" s="1273" t="n"/>
      <c r="X15" s="1273" t="n"/>
      <c r="Y15" s="1273" t="n"/>
      <c r="Z15" s="1273" t="n"/>
      <c r="AA15" s="1273" t="n"/>
      <c r="AB15" s="1273" t="n"/>
      <c r="AC15" s="1273" t="n"/>
      <c r="AD15" s="1273" t="n"/>
      <c r="AE15" s="1273" t="n"/>
      <c r="AF15" s="1273" t="n"/>
      <c r="AG15" s="1273" t="n"/>
      <c r="AH15" s="1273" t="n"/>
      <c r="AI15" s="1273" t="n"/>
      <c r="AJ15" s="1273" t="n"/>
      <c r="AK15" s="1273" t="n"/>
      <c r="AL15" s="1273" t="n"/>
      <c r="AM15" s="1274">
        <f>IF(COUNTA(D15:AL15)=0,"",COUNTA(D15:AL15))</f>
        <v/>
      </c>
      <c r="AN15" s="1235" t="n"/>
      <c r="AO15" s="1241" t="n"/>
      <c r="AP15" s="1271" t="n"/>
    </row>
    <row r="16" ht="14.25" customFormat="1" customHeight="1" s="913">
      <c r="A16" s="1271" t="n"/>
      <c r="B16" s="1274">
        <f>IF('Master Data'!H11="","",'Master Data'!H11)</f>
        <v/>
      </c>
      <c r="C16" s="1274">
        <f>IF('Master Data'!I11="","",'Master Data'!I11)</f>
        <v/>
      </c>
      <c r="D16" s="1273" t="n"/>
      <c r="E16" s="1273" t="n"/>
      <c r="F16" s="1273" t="n"/>
      <c r="G16" s="1273" t="n"/>
      <c r="H16" s="1273" t="n"/>
      <c r="I16" s="1273" t="n"/>
      <c r="J16" s="1273" t="n"/>
      <c r="K16" s="1273" t="n"/>
      <c r="L16" s="1273" t="n"/>
      <c r="M16" s="1273" t="n"/>
      <c r="N16" s="1273" t="n"/>
      <c r="O16" s="1273" t="n"/>
      <c r="P16" s="1273" t="n"/>
      <c r="Q16" s="1273" t="n"/>
      <c r="R16" s="1273" t="n"/>
      <c r="S16" s="1273" t="n"/>
      <c r="T16" s="1273" t="n"/>
      <c r="U16" s="1273" t="n"/>
      <c r="V16" s="1273" t="n"/>
      <c r="W16" s="1273" t="n"/>
      <c r="X16" s="1273" t="n"/>
      <c r="Y16" s="1273" t="n"/>
      <c r="Z16" s="1273" t="n"/>
      <c r="AA16" s="1273" t="n"/>
      <c r="AB16" s="1273" t="n"/>
      <c r="AC16" s="1273" t="n"/>
      <c r="AD16" s="1273" t="n"/>
      <c r="AE16" s="1273" t="n"/>
      <c r="AF16" s="1273" t="n"/>
      <c r="AG16" s="1273" t="n"/>
      <c r="AH16" s="1273" t="n"/>
      <c r="AI16" s="1273" t="n"/>
      <c r="AJ16" s="1273" t="n"/>
      <c r="AK16" s="1273" t="n"/>
      <c r="AL16" s="1273" t="n"/>
      <c r="AM16" s="1274">
        <f>IF(COUNTA(D16:AL16)=0,"",COUNTA(D16:AL16))</f>
        <v/>
      </c>
      <c r="AN16" s="1235" t="n"/>
      <c r="AO16" s="1241" t="n"/>
      <c r="AP16" s="1271" t="n"/>
    </row>
    <row r="17" ht="14.25" customFormat="1" customHeight="1" s="913">
      <c r="A17" s="1271" t="n"/>
      <c r="B17" s="1274">
        <f>IF('Master Data'!H12="","",'Master Data'!H12)</f>
        <v/>
      </c>
      <c r="C17" s="1274">
        <f>IF('Master Data'!I12="","",'Master Data'!I12)</f>
        <v/>
      </c>
      <c r="D17" s="1273" t="n"/>
      <c r="E17" s="1273" t="n"/>
      <c r="F17" s="1273" t="n"/>
      <c r="G17" s="1273" t="n"/>
      <c r="H17" s="1273" t="n"/>
      <c r="I17" s="1273" t="n"/>
      <c r="J17" s="1273" t="n"/>
      <c r="K17" s="1273" t="n"/>
      <c r="L17" s="1273" t="n"/>
      <c r="M17" s="1273" t="n"/>
      <c r="N17" s="1273" t="n"/>
      <c r="O17" s="1273" t="n"/>
      <c r="P17" s="1273" t="n"/>
      <c r="Q17" s="1273" t="n"/>
      <c r="R17" s="1273" t="n"/>
      <c r="S17" s="1273" t="n"/>
      <c r="T17" s="1273" t="n"/>
      <c r="U17" s="1273" t="n"/>
      <c r="V17" s="1273" t="n"/>
      <c r="W17" s="1273" t="n"/>
      <c r="X17" s="1273" t="n"/>
      <c r="Y17" s="1273" t="n"/>
      <c r="Z17" s="1273" t="n"/>
      <c r="AA17" s="1273" t="n"/>
      <c r="AB17" s="1273" t="n"/>
      <c r="AC17" s="1273" t="n"/>
      <c r="AD17" s="1273" t="n"/>
      <c r="AE17" s="1273" t="n"/>
      <c r="AF17" s="1273" t="n"/>
      <c r="AG17" s="1273" t="n"/>
      <c r="AH17" s="1273" t="n"/>
      <c r="AI17" s="1273" t="n"/>
      <c r="AJ17" s="1273" t="n"/>
      <c r="AK17" s="1273" t="n"/>
      <c r="AL17" s="1273" t="n"/>
      <c r="AM17" s="1274">
        <f>IF(COUNTA(D17:AL17)=0,"",COUNTA(D17:AL17))</f>
        <v/>
      </c>
      <c r="AN17" s="1235" t="n"/>
      <c r="AO17" s="1241" t="n"/>
      <c r="AP17" s="1271" t="n"/>
    </row>
    <row r="18" ht="14.25" customFormat="1" customHeight="1" s="913">
      <c r="A18" s="1271" t="n"/>
      <c r="B18" s="1274">
        <f>IF('Master Data'!H13="","",'Master Data'!H13)</f>
        <v/>
      </c>
      <c r="C18" s="1274">
        <f>IF('Master Data'!I13="","",'Master Data'!I13)</f>
        <v/>
      </c>
      <c r="D18" s="1273" t="n"/>
      <c r="E18" s="1273" t="n"/>
      <c r="F18" s="1273" t="n"/>
      <c r="G18" s="1273" t="n"/>
      <c r="H18" s="1273" t="n"/>
      <c r="I18" s="1273" t="n"/>
      <c r="J18" s="1273" t="n"/>
      <c r="K18" s="1273" t="n"/>
      <c r="L18" s="1273" t="n"/>
      <c r="M18" s="1273" t="n"/>
      <c r="N18" s="1273" t="n"/>
      <c r="O18" s="1273" t="n"/>
      <c r="P18" s="1273" t="n"/>
      <c r="Q18" s="1273" t="n"/>
      <c r="R18" s="1273" t="n"/>
      <c r="S18" s="1273" t="n"/>
      <c r="T18" s="1273" t="n"/>
      <c r="U18" s="1273" t="n"/>
      <c r="V18" s="1273" t="n"/>
      <c r="W18" s="1273" t="n"/>
      <c r="X18" s="1273" t="n"/>
      <c r="Y18" s="1273" t="n"/>
      <c r="Z18" s="1273" t="n"/>
      <c r="AA18" s="1273" t="n"/>
      <c r="AB18" s="1273" t="n"/>
      <c r="AC18" s="1273" t="n"/>
      <c r="AD18" s="1273" t="n"/>
      <c r="AE18" s="1273" t="n"/>
      <c r="AF18" s="1273" t="n"/>
      <c r="AG18" s="1273" t="n"/>
      <c r="AH18" s="1273" t="n"/>
      <c r="AI18" s="1273" t="n"/>
      <c r="AJ18" s="1273" t="n"/>
      <c r="AK18" s="1273" t="n"/>
      <c r="AL18" s="1273" t="n"/>
      <c r="AM18" s="1274">
        <f>IF(COUNTA(D18:AL18)=0,"",COUNTA(D18:AL18))</f>
        <v/>
      </c>
      <c r="AN18" s="1235" t="n"/>
      <c r="AO18" s="1241" t="n"/>
      <c r="AP18" s="1271" t="n"/>
    </row>
    <row r="19" ht="14.25" customFormat="1" customHeight="1" s="913">
      <c r="A19" s="1271" t="n"/>
      <c r="B19" s="1274">
        <f>IF('Master Data'!H14="","",'Master Data'!H14)</f>
        <v/>
      </c>
      <c r="C19" s="1274">
        <f>IF('Master Data'!I14="","",'Master Data'!I14)</f>
        <v/>
      </c>
      <c r="D19" s="1273" t="n"/>
      <c r="E19" s="1273" t="n"/>
      <c r="F19" s="1273" t="n"/>
      <c r="G19" s="1273" t="n"/>
      <c r="H19" s="1273" t="n"/>
      <c r="I19" s="1273" t="n"/>
      <c r="J19" s="1273" t="n"/>
      <c r="K19" s="1273" t="n"/>
      <c r="L19" s="1273" t="n"/>
      <c r="M19" s="1273" t="n"/>
      <c r="N19" s="1273" t="n"/>
      <c r="O19" s="1273" t="n"/>
      <c r="P19" s="1273" t="n"/>
      <c r="Q19" s="1273" t="n"/>
      <c r="R19" s="1273" t="n"/>
      <c r="S19" s="1273" t="n"/>
      <c r="T19" s="1273" t="n"/>
      <c r="U19" s="1273" t="n"/>
      <c r="V19" s="1273" t="n"/>
      <c r="W19" s="1273" t="n"/>
      <c r="X19" s="1273" t="n"/>
      <c r="Y19" s="1273" t="n"/>
      <c r="Z19" s="1273" t="n"/>
      <c r="AA19" s="1273" t="n"/>
      <c r="AB19" s="1273" t="n"/>
      <c r="AC19" s="1273" t="n"/>
      <c r="AD19" s="1273" t="n"/>
      <c r="AE19" s="1273" t="n"/>
      <c r="AF19" s="1273" t="n"/>
      <c r="AG19" s="1273" t="n"/>
      <c r="AH19" s="1273" t="n"/>
      <c r="AI19" s="1273" t="n"/>
      <c r="AJ19" s="1273" t="n"/>
      <c r="AK19" s="1273" t="n"/>
      <c r="AL19" s="1273" t="n"/>
      <c r="AM19" s="1274">
        <f>IF(COUNTA(D19:AL19)=0,"",COUNTA(D19:AL19))</f>
        <v/>
      </c>
      <c r="AN19" s="1235" t="n"/>
      <c r="AO19" s="1241" t="n"/>
      <c r="AP19" s="1271" t="n"/>
    </row>
    <row r="20" ht="14.25" customFormat="1" customHeight="1" s="913">
      <c r="A20" s="1271" t="n"/>
      <c r="B20" s="1274">
        <f>IF('Master Data'!H15="","",'Master Data'!H15)</f>
        <v/>
      </c>
      <c r="C20" s="1274">
        <f>IF('Master Data'!I15="","",'Master Data'!I15)</f>
        <v/>
      </c>
      <c r="D20" s="1273" t="n"/>
      <c r="E20" s="1273" t="n"/>
      <c r="F20" s="1273" t="n"/>
      <c r="G20" s="1273" t="n"/>
      <c r="H20" s="1273" t="n"/>
      <c r="I20" s="1273" t="n"/>
      <c r="J20" s="1273" t="n"/>
      <c r="K20" s="1273" t="n"/>
      <c r="L20" s="1273" t="n"/>
      <c r="M20" s="1273" t="n"/>
      <c r="N20" s="1273" t="n"/>
      <c r="O20" s="1273" t="n"/>
      <c r="P20" s="1273" t="n"/>
      <c r="Q20" s="1273" t="n"/>
      <c r="R20" s="1273" t="n"/>
      <c r="S20" s="1273" t="n"/>
      <c r="T20" s="1273" t="n"/>
      <c r="U20" s="1273" t="n"/>
      <c r="V20" s="1273" t="n"/>
      <c r="W20" s="1273" t="n"/>
      <c r="X20" s="1273" t="n"/>
      <c r="Y20" s="1273" t="n"/>
      <c r="Z20" s="1273" t="n"/>
      <c r="AA20" s="1273" t="n"/>
      <c r="AB20" s="1273" t="n"/>
      <c r="AC20" s="1273" t="n"/>
      <c r="AD20" s="1273" t="n"/>
      <c r="AE20" s="1273" t="n"/>
      <c r="AF20" s="1273" t="n"/>
      <c r="AG20" s="1273" t="n"/>
      <c r="AH20" s="1273" t="n"/>
      <c r="AI20" s="1273" t="n"/>
      <c r="AJ20" s="1273" t="n"/>
      <c r="AK20" s="1273" t="n"/>
      <c r="AL20" s="1273" t="n"/>
      <c r="AM20" s="1274">
        <f>IF(COUNTA(D20:AL20)=0,"",COUNTA(D20:AL20))</f>
        <v/>
      </c>
      <c r="AN20" s="1235" t="n"/>
      <c r="AO20" s="1241" t="n"/>
      <c r="AP20" s="1271" t="n"/>
    </row>
    <row r="21" ht="14.25" customFormat="1" customHeight="1" s="913">
      <c r="A21" s="1271" t="n"/>
      <c r="B21" s="1274">
        <f>IF('Master Data'!H16="","",'Master Data'!H16)</f>
        <v/>
      </c>
      <c r="C21" s="1274">
        <f>IF('Master Data'!I16="","",'Master Data'!I16)</f>
        <v/>
      </c>
      <c r="D21" s="1273" t="n"/>
      <c r="E21" s="1273" t="n"/>
      <c r="F21" s="1273" t="n"/>
      <c r="G21" s="1273" t="n"/>
      <c r="H21" s="1273" t="n"/>
      <c r="I21" s="1273" t="n"/>
      <c r="J21" s="1273" t="n"/>
      <c r="K21" s="1273" t="n"/>
      <c r="L21" s="1273" t="n"/>
      <c r="M21" s="1273" t="n"/>
      <c r="N21" s="1273" t="n"/>
      <c r="O21" s="1273" t="n"/>
      <c r="P21" s="1273" t="n"/>
      <c r="Q21" s="1273" t="n"/>
      <c r="R21" s="1273" t="n"/>
      <c r="S21" s="1273" t="n"/>
      <c r="T21" s="1273" t="n"/>
      <c r="U21" s="1273" t="n"/>
      <c r="V21" s="1273" t="n"/>
      <c r="W21" s="1273" t="n"/>
      <c r="X21" s="1273" t="n"/>
      <c r="Y21" s="1273" t="n"/>
      <c r="Z21" s="1273" t="n"/>
      <c r="AA21" s="1273" t="n"/>
      <c r="AB21" s="1273" t="n"/>
      <c r="AC21" s="1273" t="n"/>
      <c r="AD21" s="1273" t="n"/>
      <c r="AE21" s="1273" t="n"/>
      <c r="AF21" s="1273" t="n"/>
      <c r="AG21" s="1273" t="n"/>
      <c r="AH21" s="1273" t="n"/>
      <c r="AI21" s="1273" t="n"/>
      <c r="AJ21" s="1273" t="n"/>
      <c r="AK21" s="1273" t="n"/>
      <c r="AL21" s="1273" t="n"/>
      <c r="AM21" s="1274">
        <f>IF(COUNTA(D21:AL21)=0,"",COUNTA(D21:AL21))</f>
        <v/>
      </c>
      <c r="AN21" s="1235" t="n"/>
      <c r="AO21" s="1241" t="n"/>
      <c r="AP21" s="1271" t="n"/>
    </row>
    <row r="22" ht="14.25" customFormat="1" customHeight="1" s="913">
      <c r="A22" s="1271" t="n"/>
      <c r="B22" s="1274">
        <f>IF('Master Data'!H17="","",'Master Data'!H17)</f>
        <v/>
      </c>
      <c r="C22" s="1274">
        <f>IF('Master Data'!I17="","",'Master Data'!I17)</f>
        <v/>
      </c>
      <c r="D22" s="1273" t="n"/>
      <c r="E22" s="1273" t="n"/>
      <c r="F22" s="1273" t="n"/>
      <c r="G22" s="1273" t="n"/>
      <c r="H22" s="1273" t="n"/>
      <c r="I22" s="1273" t="n"/>
      <c r="J22" s="1273" t="n"/>
      <c r="K22" s="1273" t="n"/>
      <c r="L22" s="1273" t="n"/>
      <c r="M22" s="1273" t="n"/>
      <c r="N22" s="1273" t="n"/>
      <c r="O22" s="1273" t="n"/>
      <c r="P22" s="1273" t="n"/>
      <c r="Q22" s="1273" t="n"/>
      <c r="R22" s="1273" t="n"/>
      <c r="S22" s="1273" t="n"/>
      <c r="T22" s="1273" t="n"/>
      <c r="U22" s="1273" t="n"/>
      <c r="V22" s="1273" t="n"/>
      <c r="W22" s="1273" t="n"/>
      <c r="X22" s="1273" t="n"/>
      <c r="Y22" s="1273" t="n"/>
      <c r="Z22" s="1273" t="n"/>
      <c r="AA22" s="1273" t="n"/>
      <c r="AB22" s="1273" t="n"/>
      <c r="AC22" s="1273" t="n"/>
      <c r="AD22" s="1273" t="n"/>
      <c r="AE22" s="1273" t="n"/>
      <c r="AF22" s="1273" t="n"/>
      <c r="AG22" s="1273" t="n"/>
      <c r="AH22" s="1273" t="n"/>
      <c r="AI22" s="1273" t="n"/>
      <c r="AJ22" s="1273" t="n"/>
      <c r="AK22" s="1273" t="n"/>
      <c r="AL22" s="1273" t="n"/>
      <c r="AM22" s="1274">
        <f>IF(COUNTA(D22:AL22)=0,"",COUNTA(D22:AL22))</f>
        <v/>
      </c>
      <c r="AN22" s="1235" t="n"/>
      <c r="AO22" s="1241" t="n"/>
      <c r="AP22" s="1271" t="n"/>
      <c r="AR22" s="913">
        <f>IF(D22="X",1,0)</f>
        <v/>
      </c>
      <c r="AS22" s="913">
        <f>IF(E22="X",1,0)</f>
        <v/>
      </c>
      <c r="AT22" s="913">
        <f>IF(F22="X",1,0)</f>
        <v/>
      </c>
      <c r="AU22" s="913">
        <f>IF(G22="X",1,0)</f>
        <v/>
      </c>
      <c r="AV22" s="913">
        <f>IF(H22="X",1,0)</f>
        <v/>
      </c>
      <c r="AW22" s="913">
        <f>IF(I22="X",1,0)</f>
        <v/>
      </c>
      <c r="AX22" s="913">
        <f>IF(J22="X",1,0)</f>
        <v/>
      </c>
      <c r="AY22" s="913">
        <f>IF(K22="X",1,0)</f>
        <v/>
      </c>
      <c r="AZ22" s="913">
        <f>IF(L22="X",1,0)</f>
        <v/>
      </c>
      <c r="BA22" s="913">
        <f>IF(M22="X",1,0)</f>
        <v/>
      </c>
      <c r="BB22" s="913">
        <f>IF(N22="X",1,0)</f>
        <v/>
      </c>
      <c r="BC22" s="913">
        <f>IF(O22="X",1,0)</f>
        <v/>
      </c>
      <c r="BD22" s="913">
        <f>IF(P22="X",1,0)</f>
        <v/>
      </c>
      <c r="BE22" s="913">
        <f>IF(Q22="X",1,0)</f>
        <v/>
      </c>
      <c r="BF22" s="913">
        <f>IF(R22="X",1,0)</f>
        <v/>
      </c>
      <c r="BG22" s="913">
        <f>IF(S22="X",1,0)</f>
        <v/>
      </c>
      <c r="BH22" s="913">
        <f>IF(T22="X",1,0)</f>
        <v/>
      </c>
      <c r="BI22" s="913">
        <f>IF(U22="X",1,0)</f>
        <v/>
      </c>
      <c r="BJ22" s="913">
        <f>IF(V22="X",1,0)</f>
        <v/>
      </c>
      <c r="BK22" s="913">
        <f>IF(W22="X",1,0)</f>
        <v/>
      </c>
      <c r="BL22" s="913">
        <f>IF(X22="X",1,0)</f>
        <v/>
      </c>
      <c r="BM22" s="913">
        <f>IF(Y22="X",1,0)</f>
        <v/>
      </c>
      <c r="BN22" s="913">
        <f>IF(Z22="X",1,0)</f>
        <v/>
      </c>
      <c r="BO22" s="913">
        <f>IF(AA22="X",1,0)</f>
        <v/>
      </c>
      <c r="BP22" s="913">
        <f>IF(AB22="X",1,0)</f>
        <v/>
      </c>
      <c r="BQ22" s="913">
        <f>IF(AC22="X",1,0)</f>
        <v/>
      </c>
      <c r="BR22" s="913">
        <f>IF(AD22="X",1,0)</f>
        <v/>
      </c>
      <c r="BS22" s="913">
        <f>IF(AE22="X",1,0)</f>
        <v/>
      </c>
      <c r="BT22" s="913">
        <f>IF(AF22="X",1,0)</f>
        <v/>
      </c>
      <c r="BU22" s="913">
        <f>IF(AG22="X",1,0)</f>
        <v/>
      </c>
      <c r="BV22" s="913">
        <f>IF(AH22="X",1,0)</f>
        <v/>
      </c>
      <c r="BW22" s="913">
        <f>IF(AI22="X",1,0)</f>
        <v/>
      </c>
      <c r="BX22" s="913">
        <f>IF(AJ22="X",1,0)</f>
        <v/>
      </c>
      <c r="BY22" s="913">
        <f>IF(AK22="X",1,0)</f>
        <v/>
      </c>
      <c r="BZ22" s="913">
        <f>IF(AL22="X",1,0)</f>
        <v/>
      </c>
      <c r="CA22" s="913">
        <f>IF(AM22="X",1,0)</f>
        <v/>
      </c>
      <c r="CB22" s="913">
        <f>IF(AN22="X",1,0)</f>
        <v/>
      </c>
    </row>
    <row r="23" ht="14.25" customHeight="1" s="862">
      <c r="A23" s="1232" t="n"/>
      <c r="B23" s="1274">
        <f>IF('Master Data'!H18="","",'Master Data'!H18)</f>
        <v/>
      </c>
      <c r="C23" s="1274">
        <f>IF('Master Data'!I18="","",'Master Data'!I18)</f>
        <v/>
      </c>
      <c r="D23" s="1273" t="n"/>
      <c r="E23" s="1273" t="n"/>
      <c r="F23" s="1273" t="n"/>
      <c r="G23" s="1273" t="n"/>
      <c r="H23" s="1273" t="n"/>
      <c r="I23" s="1273" t="n"/>
      <c r="J23" s="1273" t="n"/>
      <c r="K23" s="1273" t="n"/>
      <c r="L23" s="1273" t="n"/>
      <c r="M23" s="1273" t="n"/>
      <c r="N23" s="1273" t="n"/>
      <c r="O23" s="1273" t="n"/>
      <c r="P23" s="1273" t="n"/>
      <c r="Q23" s="1273" t="n"/>
      <c r="R23" s="1273" t="n"/>
      <c r="S23" s="1273" t="n"/>
      <c r="T23" s="1273" t="n"/>
      <c r="U23" s="1273" t="n"/>
      <c r="V23" s="1273" t="n"/>
      <c r="W23" s="1273" t="n"/>
      <c r="X23" s="1273" t="n"/>
      <c r="Y23" s="1273" t="n"/>
      <c r="Z23" s="1273" t="n"/>
      <c r="AA23" s="1273" t="n"/>
      <c r="AB23" s="1273" t="n"/>
      <c r="AC23" s="1273" t="n"/>
      <c r="AD23" s="1273" t="n"/>
      <c r="AE23" s="1273" t="n"/>
      <c r="AF23" s="1273" t="n"/>
      <c r="AG23" s="1273" t="n"/>
      <c r="AH23" s="1273" t="n"/>
      <c r="AI23" s="1273" t="n"/>
      <c r="AJ23" s="1273" t="n"/>
      <c r="AK23" s="1273" t="n"/>
      <c r="AL23" s="1273" t="n"/>
      <c r="AM23" s="1274">
        <f>IF(COUNTA(D23:AL23)=0,"",COUNTA(D23:AL23))</f>
        <v/>
      </c>
      <c r="AN23" s="1235" t="n"/>
      <c r="AO23" s="1241" t="n"/>
      <c r="AP23" s="1232" t="n"/>
      <c r="AR23" s="913">
        <f>IF(D23="X",1,0)</f>
        <v/>
      </c>
      <c r="AS23" s="913">
        <f>IF(E23="X",1,0)</f>
        <v/>
      </c>
      <c r="AT23" s="913">
        <f>IF(F23="X",1,0)</f>
        <v/>
      </c>
      <c r="AU23" s="913">
        <f>IF(G23="X",1,0)</f>
        <v/>
      </c>
      <c r="AV23" s="913">
        <f>IF(H23="X",1,0)</f>
        <v/>
      </c>
      <c r="AW23" s="913">
        <f>IF(I23="X",1,0)</f>
        <v/>
      </c>
      <c r="AX23" s="913">
        <f>IF(J23="X",1,0)</f>
        <v/>
      </c>
      <c r="AY23" s="913">
        <f>IF(K23="X",1,0)</f>
        <v/>
      </c>
      <c r="AZ23" s="913">
        <f>IF(L23="X",1,0)</f>
        <v/>
      </c>
      <c r="BA23" s="913">
        <f>IF(M23="X",1,0)</f>
        <v/>
      </c>
      <c r="BB23" s="913">
        <f>IF(N23="X",1,0)</f>
        <v/>
      </c>
      <c r="BC23" s="913">
        <f>IF(O23="X",1,0)</f>
        <v/>
      </c>
      <c r="BD23" s="913">
        <f>IF(P23="X",1,0)</f>
        <v/>
      </c>
      <c r="BE23" s="913">
        <f>IF(Q23="X",1,0)</f>
        <v/>
      </c>
      <c r="BF23" s="913">
        <f>IF(R23="X",1,0)</f>
        <v/>
      </c>
      <c r="BG23" s="913">
        <f>IF(S23="X",1,0)</f>
        <v/>
      </c>
      <c r="BH23" s="913">
        <f>IF(T23="X",1,0)</f>
        <v/>
      </c>
      <c r="BI23" s="913">
        <f>IF(U23="X",1,0)</f>
        <v/>
      </c>
      <c r="BJ23" s="913">
        <f>IF(V23="X",1,0)</f>
        <v/>
      </c>
      <c r="BK23" s="913">
        <f>IF(W23="X",1,0)</f>
        <v/>
      </c>
      <c r="BL23" s="913">
        <f>IF(X23="X",1,0)</f>
        <v/>
      </c>
      <c r="BM23" s="913">
        <f>IF(Y23="X",1,0)</f>
        <v/>
      </c>
      <c r="BN23" s="913">
        <f>IF(Z23="X",1,0)</f>
        <v/>
      </c>
      <c r="BO23" s="913">
        <f>IF(AA23="X",1,0)</f>
        <v/>
      </c>
      <c r="BP23" s="913">
        <f>IF(AB23="X",1,0)</f>
        <v/>
      </c>
      <c r="BQ23" s="913">
        <f>IF(AC23="X",1,0)</f>
        <v/>
      </c>
      <c r="BR23" s="913">
        <f>IF(AD23="X",1,0)</f>
        <v/>
      </c>
      <c r="BS23" s="913">
        <f>IF(AE23="X",1,0)</f>
        <v/>
      </c>
      <c r="BT23" s="913">
        <f>IF(AF23="X",1,0)</f>
        <v/>
      </c>
      <c r="BU23" s="913">
        <f>IF(AG23="X",1,0)</f>
        <v/>
      </c>
      <c r="BV23" s="913">
        <f>IF(AH23="X",1,0)</f>
        <v/>
      </c>
      <c r="BW23" s="913">
        <f>IF(AI23="X",1,0)</f>
        <v/>
      </c>
      <c r="BX23" s="913">
        <f>IF(AJ23="X",1,0)</f>
        <v/>
      </c>
      <c r="BY23" s="913">
        <f>IF(AK23="X",1,0)</f>
        <v/>
      </c>
      <c r="BZ23" s="913">
        <f>IF(AL23="X",1,0)</f>
        <v/>
      </c>
      <c r="CA23" s="913">
        <f>IF(AM23="X",1,0)</f>
        <v/>
      </c>
      <c r="CB23" s="913">
        <f>IF(AN23="X",1,0)</f>
        <v/>
      </c>
    </row>
    <row r="24" ht="14.25" customHeight="1" s="862">
      <c r="A24" s="1232" t="n"/>
      <c r="B24" s="1268" t="inlineStr">
        <is>
          <t>Part # /Serial #</t>
        </is>
      </c>
      <c r="C24" s="1268" t="inlineStr">
        <is>
          <t xml:space="preserve">Service Equipment </t>
        </is>
      </c>
      <c r="D24" s="1276" t="n"/>
      <c r="E24" s="1276" t="n"/>
      <c r="F24" s="1276" t="n"/>
      <c r="G24" s="1276" t="n"/>
      <c r="H24" s="1276" t="n"/>
      <c r="I24" s="1276" t="n"/>
      <c r="J24" s="1276" t="n"/>
      <c r="K24" s="1276" t="n"/>
      <c r="L24" s="1276" t="n"/>
      <c r="M24" s="1276" t="n"/>
      <c r="N24" s="1276" t="n"/>
      <c r="O24" s="1276" t="n"/>
      <c r="P24" s="1276" t="n"/>
      <c r="Q24" s="1276" t="n"/>
      <c r="R24" s="1276" t="n"/>
      <c r="S24" s="1276" t="n"/>
      <c r="T24" s="1276" t="n"/>
      <c r="U24" s="1276" t="n"/>
      <c r="V24" s="1276" t="n"/>
      <c r="W24" s="1276" t="n"/>
      <c r="X24" s="1276" t="n"/>
      <c r="Y24" s="1276" t="n"/>
      <c r="Z24" s="1276" t="n"/>
      <c r="AA24" s="1276" t="n"/>
      <c r="AB24" s="1276" t="n"/>
      <c r="AC24" s="1276" t="n"/>
      <c r="AD24" s="1276" t="n"/>
      <c r="AE24" s="1276" t="n"/>
      <c r="AF24" s="1276" t="n"/>
      <c r="AG24" s="1276" t="n"/>
      <c r="AH24" s="1276" t="n"/>
      <c r="AI24" s="1276" t="n"/>
      <c r="AJ24" s="1276" t="n"/>
      <c r="AK24" s="1276" t="n"/>
      <c r="AL24" s="1276" t="n"/>
      <c r="AM24" s="1277" t="n"/>
      <c r="AN24" s="1235" t="n"/>
      <c r="AO24" s="1241" t="n"/>
      <c r="AP24" s="1232" t="n"/>
      <c r="AR24" s="913" t="n"/>
      <c r="AS24" s="913" t="n"/>
      <c r="AT24" s="913" t="n"/>
      <c r="AU24" s="913" t="n"/>
      <c r="AV24" s="913" t="n"/>
      <c r="AW24" s="913" t="n"/>
      <c r="AX24" s="913" t="n"/>
      <c r="AY24" s="913" t="n"/>
      <c r="AZ24" s="913" t="n"/>
      <c r="BA24" s="913" t="n"/>
      <c r="BB24" s="913" t="n"/>
      <c r="BC24" s="913" t="n"/>
      <c r="BD24" s="913" t="n"/>
      <c r="BE24" s="913" t="n"/>
      <c r="BF24" s="913" t="n"/>
      <c r="BG24" s="913" t="n"/>
      <c r="BH24" s="913" t="n"/>
      <c r="BI24" s="913" t="n"/>
      <c r="BJ24" s="913" t="n"/>
      <c r="BK24" s="913" t="n"/>
      <c r="BL24" s="913" t="n"/>
      <c r="BM24" s="913" t="n"/>
      <c r="BN24" s="913" t="n"/>
      <c r="BO24" s="913" t="n"/>
      <c r="BP24" s="913" t="n"/>
      <c r="BQ24" s="913" t="n"/>
      <c r="BR24" s="913" t="n"/>
      <c r="BS24" s="913" t="n"/>
      <c r="BT24" s="913" t="n"/>
      <c r="BU24" s="913" t="n"/>
      <c r="BV24" s="913" t="n"/>
      <c r="BW24" s="913" t="n"/>
      <c r="BX24" s="913" t="n"/>
      <c r="BY24" s="913" t="n"/>
      <c r="BZ24" s="913" t="n"/>
      <c r="CA24" s="913" t="n"/>
      <c r="CB24" s="913" t="n"/>
    </row>
    <row r="25" ht="14.25" customHeight="1" s="862">
      <c r="A25" s="1232" t="n"/>
      <c r="B25" s="927">
        <f>'MS2'!F11</f>
        <v/>
      </c>
      <c r="C25" s="1278">
        <f>'MS2'!G11</f>
        <v/>
      </c>
      <c r="D25" s="1273" t="inlineStr">
        <is>
          <t>x</t>
        </is>
      </c>
      <c r="E25" s="1273" t="inlineStr">
        <is>
          <t>x</t>
        </is>
      </c>
      <c r="F25" s="1273" t="inlineStr">
        <is>
          <t>x</t>
        </is>
      </c>
      <c r="G25" s="1273" t="inlineStr">
        <is>
          <t>x</t>
        </is>
      </c>
      <c r="H25" s="1273" t="inlineStr">
        <is>
          <t>x</t>
        </is>
      </c>
      <c r="I25" s="1273" t="inlineStr">
        <is>
          <t>x</t>
        </is>
      </c>
      <c r="J25" s="1279" t="n"/>
      <c r="K25" s="1279" t="n"/>
      <c r="L25" s="1279" t="n"/>
      <c r="M25" s="1279" t="n"/>
      <c r="N25" s="1279" t="n"/>
      <c r="O25" s="1280" t="n"/>
      <c r="P25" s="1280" t="n"/>
      <c r="Q25" s="1280" t="n"/>
      <c r="R25" s="1280" t="n"/>
      <c r="S25" s="1280" t="n"/>
      <c r="T25" s="1280" t="n"/>
      <c r="U25" s="1280" t="n"/>
      <c r="V25" s="1280" t="n"/>
      <c r="W25" s="1280" t="n"/>
      <c r="X25" s="1280" t="n"/>
      <c r="Y25" s="1280" t="n"/>
      <c r="Z25" s="1275" t="n"/>
      <c r="AA25" s="1275" t="n"/>
      <c r="AB25" s="1275" t="n"/>
      <c r="AC25" s="1275" t="n"/>
      <c r="AD25" s="1275" t="n"/>
      <c r="AE25" s="1275" t="n"/>
      <c r="AF25" s="1275" t="n"/>
      <c r="AG25" s="1275" t="n"/>
      <c r="AH25" s="1279" t="n"/>
      <c r="AI25" s="1279" t="n"/>
      <c r="AJ25" s="1279" t="n"/>
      <c r="AK25" s="1279" t="n"/>
      <c r="AL25" s="1279" t="n"/>
      <c r="AM25" s="1274">
        <f>IF(COUNTA(D25:AL25)=0,"",COUNTA(D25:AL25))</f>
        <v/>
      </c>
      <c r="AN25" s="1235" t="n"/>
      <c r="AO25" s="1241" t="n"/>
      <c r="AP25" s="1232" t="n"/>
      <c r="AR25" s="913">
        <f>IF(D25="X",1,0)</f>
        <v/>
      </c>
      <c r="AS25" s="913">
        <f>IF(E25="X",1,0)</f>
        <v/>
      </c>
      <c r="AT25" s="913">
        <f>IF(F25="X",1,0)</f>
        <v/>
      </c>
      <c r="AU25" s="913">
        <f>IF(G25="X",1,0)</f>
        <v/>
      </c>
      <c r="AV25" s="913">
        <f>IF(H25="X",1,0)</f>
        <v/>
      </c>
      <c r="AW25" s="913">
        <f>IF(I25="X",1,0)</f>
        <v/>
      </c>
      <c r="AX25" s="913">
        <f>IF(J25="X",1,0)</f>
        <v/>
      </c>
      <c r="AY25" s="913">
        <f>IF(K25="X",1,0)</f>
        <v/>
      </c>
      <c r="AZ25" s="913">
        <f>IF(L25="X",1,0)</f>
        <v/>
      </c>
      <c r="BA25" s="913">
        <f>IF(M25="X",1,0)</f>
        <v/>
      </c>
      <c r="BB25" s="913">
        <f>IF(N25="X",1,0)</f>
        <v/>
      </c>
      <c r="BC25" s="913">
        <f>IF(O25="X",1,0)</f>
        <v/>
      </c>
      <c r="BD25" s="913">
        <f>IF(P25="X",1,0)</f>
        <v/>
      </c>
      <c r="BE25" s="913">
        <f>IF(Q25="X",1,0)</f>
        <v/>
      </c>
      <c r="BF25" s="913">
        <f>IF(R25="X",1,0)</f>
        <v/>
      </c>
      <c r="BG25" s="913">
        <f>IF(S25="X",1,0)</f>
        <v/>
      </c>
      <c r="BH25" s="913">
        <f>IF(T25="X",1,0)</f>
        <v/>
      </c>
      <c r="BI25" s="913">
        <f>IF(U25="X",1,0)</f>
        <v/>
      </c>
      <c r="BJ25" s="913">
        <f>IF(V25="X",1,0)</f>
        <v/>
      </c>
      <c r="BK25" s="913">
        <f>IF(W25="X",1,0)</f>
        <v/>
      </c>
      <c r="BL25" s="913">
        <f>IF(X25="X",1,0)</f>
        <v/>
      </c>
      <c r="BM25" s="913">
        <f>IF(Y25="X",1,0)</f>
        <v/>
      </c>
      <c r="BN25" s="913">
        <f>IF(Z25="X",1,0)</f>
        <v/>
      </c>
      <c r="BO25" s="913">
        <f>IF(AA25="X",1,0)</f>
        <v/>
      </c>
      <c r="BP25" s="913">
        <f>IF(AB25="X",1,0)</f>
        <v/>
      </c>
      <c r="BQ25" s="913">
        <f>IF(AC25="X",1,0)</f>
        <v/>
      </c>
      <c r="BR25" s="913">
        <f>IF(AD25="X",1,0)</f>
        <v/>
      </c>
      <c r="BS25" s="913">
        <f>IF(AE25="X",1,0)</f>
        <v/>
      </c>
      <c r="BT25" s="913">
        <f>IF(AF25="X",1,0)</f>
        <v/>
      </c>
      <c r="BU25" s="913">
        <f>IF(AG25="X",1,0)</f>
        <v/>
      </c>
      <c r="BV25" s="913">
        <f>IF(AH25="X",1,0)</f>
        <v/>
      </c>
      <c r="BW25" s="913">
        <f>IF(AI25="X",1,0)</f>
        <v/>
      </c>
      <c r="BX25" s="913">
        <f>IF(AJ25="X",1,0)</f>
        <v/>
      </c>
      <c r="BY25" s="913">
        <f>IF(AK25="X",1,0)</f>
        <v/>
      </c>
      <c r="BZ25" s="913">
        <f>IF(AL25="X",1,0)</f>
        <v/>
      </c>
      <c r="CA25" s="913">
        <f>IF(AM25="X",1,0)</f>
        <v/>
      </c>
      <c r="CB25" s="913">
        <f>IF(AN25="X",1,0)</f>
        <v/>
      </c>
    </row>
    <row r="26" ht="14.25" customHeight="1" s="862">
      <c r="A26" s="1232" t="n"/>
      <c r="B26" s="928">
        <f>'MS2'!F12</f>
        <v/>
      </c>
      <c r="C26" s="1281">
        <f>'MS2'!G12</f>
        <v/>
      </c>
      <c r="D26" s="1280" t="n"/>
      <c r="E26" s="1280" t="n"/>
      <c r="F26" s="1280" t="n"/>
      <c r="G26" s="1280" t="n"/>
      <c r="H26" s="1280" t="n"/>
      <c r="I26" s="1280" t="n"/>
      <c r="J26" s="1280" t="n"/>
      <c r="K26" s="1280" t="n"/>
      <c r="L26" s="1280" t="n"/>
      <c r="M26" s="1280" t="n"/>
      <c r="N26" s="1280" t="n"/>
      <c r="O26" s="1280" t="n"/>
      <c r="P26" s="1280" t="n"/>
      <c r="Q26" s="1280" t="n"/>
      <c r="R26" s="1280" t="n"/>
      <c r="S26" s="1280" t="n"/>
      <c r="T26" s="1280" t="n"/>
      <c r="U26" s="1280" t="n"/>
      <c r="V26" s="1280" t="n"/>
      <c r="W26" s="1280" t="n"/>
      <c r="X26" s="1280" t="n"/>
      <c r="Y26" s="1280" t="n"/>
      <c r="Z26" s="1275" t="n"/>
      <c r="AA26" s="1275" t="n"/>
      <c r="AB26" s="1275" t="n"/>
      <c r="AC26" s="1275" t="n"/>
      <c r="AD26" s="1275" t="n"/>
      <c r="AE26" s="1275" t="n"/>
      <c r="AF26" s="1275" t="n"/>
      <c r="AG26" s="1275" t="n"/>
      <c r="AH26" s="1275" t="n"/>
      <c r="AI26" s="1280" t="n"/>
      <c r="AJ26" s="1280" t="n"/>
      <c r="AK26" s="1280" t="n"/>
      <c r="AL26" s="1280" t="n"/>
      <c r="AM26" s="1274">
        <f>IF(COUNTA(D26:AL26)=0,"",COUNTA(D26:AL26))</f>
        <v/>
      </c>
      <c r="AN26" s="1235" t="n"/>
      <c r="AO26" s="1241" t="n"/>
      <c r="AP26" s="1232" t="n"/>
      <c r="AR26" s="913">
        <f>IF(D26="X",1,0)</f>
        <v/>
      </c>
      <c r="AS26" s="913">
        <f>IF(E26="X",1,0)</f>
        <v/>
      </c>
      <c r="AT26" s="913">
        <f>IF(F26="X",1,0)</f>
        <v/>
      </c>
      <c r="AU26" s="913">
        <f>IF(G26="X",1,0)</f>
        <v/>
      </c>
      <c r="AV26" s="913">
        <f>IF(H26="X",1,0)</f>
        <v/>
      </c>
      <c r="AW26" s="913">
        <f>IF(I26="X",1,0)</f>
        <v/>
      </c>
      <c r="AX26" s="913">
        <f>IF(J26="X",1,0)</f>
        <v/>
      </c>
      <c r="AY26" s="913">
        <f>IF(K26="X",1,0)</f>
        <v/>
      </c>
      <c r="AZ26" s="913">
        <f>IF(L26="X",1,0)</f>
        <v/>
      </c>
      <c r="BA26" s="913">
        <f>IF(M26="X",1,0)</f>
        <v/>
      </c>
      <c r="BB26" s="913">
        <f>IF(N26="X",1,0)</f>
        <v/>
      </c>
      <c r="BC26" s="913">
        <f>IF(O26="X",1,0)</f>
        <v/>
      </c>
      <c r="BD26" s="913">
        <f>IF(P26="X",1,0)</f>
        <v/>
      </c>
      <c r="BE26" s="913">
        <f>IF(Q26="X",1,0)</f>
        <v/>
      </c>
      <c r="BF26" s="913">
        <f>IF(R26="X",1,0)</f>
        <v/>
      </c>
      <c r="BG26" s="913">
        <f>IF(S26="X",1,0)</f>
        <v/>
      </c>
      <c r="BH26" s="913">
        <f>IF(T26="X",1,0)</f>
        <v/>
      </c>
      <c r="BI26" s="913">
        <f>IF(U26="X",1,0)</f>
        <v/>
      </c>
      <c r="BJ26" s="913">
        <f>IF(V26="X",1,0)</f>
        <v/>
      </c>
      <c r="BK26" s="913">
        <f>IF(W26="X",1,0)</f>
        <v/>
      </c>
      <c r="BL26" s="913">
        <f>IF(X26="X",1,0)</f>
        <v/>
      </c>
      <c r="BM26" s="913">
        <f>IF(Y26="X",1,0)</f>
        <v/>
      </c>
      <c r="BN26" s="913">
        <f>IF(Z26="X",1,0)</f>
        <v/>
      </c>
      <c r="BO26" s="913">
        <f>IF(AA26="X",1,0)</f>
        <v/>
      </c>
      <c r="BP26" s="913">
        <f>IF(AB26="X",1,0)</f>
        <v/>
      </c>
      <c r="BQ26" s="913">
        <f>IF(AC26="X",1,0)</f>
        <v/>
      </c>
      <c r="BR26" s="913">
        <f>IF(AD26="X",1,0)</f>
        <v/>
      </c>
      <c r="BS26" s="913">
        <f>IF(AE26="X",1,0)</f>
        <v/>
      </c>
      <c r="BT26" s="913">
        <f>IF(AF26="X",1,0)</f>
        <v/>
      </c>
      <c r="BU26" s="913">
        <f>IF(AG26="X",1,0)</f>
        <v/>
      </c>
      <c r="BV26" s="913">
        <f>IF(AH26="X",1,0)</f>
        <v/>
      </c>
      <c r="BW26" s="913">
        <f>IF(AI26="X",1,0)</f>
        <v/>
      </c>
      <c r="BX26" s="913">
        <f>IF(AJ26="X",1,0)</f>
        <v/>
      </c>
      <c r="BY26" s="913">
        <f>IF(AK26="X",1,0)</f>
        <v/>
      </c>
      <c r="BZ26" s="913">
        <f>IF(AL26="X",1,0)</f>
        <v/>
      </c>
      <c r="CA26" s="913">
        <f>IF(AM26="X",1,0)</f>
        <v/>
      </c>
      <c r="CB26" s="913">
        <f>IF(AN26="X",1,0)</f>
        <v/>
      </c>
    </row>
    <row r="27" ht="14.25" customHeight="1" s="862">
      <c r="A27" s="1232" t="n"/>
      <c r="B27" s="927">
        <f>'MS2'!F13</f>
        <v/>
      </c>
      <c r="C27" s="1281">
        <f>'MS2'!G13</f>
        <v/>
      </c>
      <c r="D27" s="1280" t="n"/>
      <c r="E27" s="1280" t="n"/>
      <c r="F27" s="1280" t="n"/>
      <c r="G27" s="1280" t="n"/>
      <c r="H27" s="1280" t="n"/>
      <c r="I27" s="1280" t="n"/>
      <c r="J27" s="1280" t="n"/>
      <c r="K27" s="1280" t="n"/>
      <c r="L27" s="1280" t="n"/>
      <c r="M27" s="1280" t="n"/>
      <c r="N27" s="1280" t="n"/>
      <c r="O27" s="1280" t="n"/>
      <c r="P27" s="1280" t="n"/>
      <c r="Q27" s="1280" t="n"/>
      <c r="R27" s="1280" t="n"/>
      <c r="S27" s="1280" t="n"/>
      <c r="T27" s="1280" t="n"/>
      <c r="U27" s="1280" t="n"/>
      <c r="V27" s="1280" t="n"/>
      <c r="W27" s="1280" t="n"/>
      <c r="X27" s="1280" t="n"/>
      <c r="Y27" s="1280" t="n"/>
      <c r="Z27" s="1280" t="n"/>
      <c r="AA27" s="1280" t="n"/>
      <c r="AB27" s="1280" t="n"/>
      <c r="AC27" s="1280" t="n"/>
      <c r="AD27" s="1280" t="n"/>
      <c r="AE27" s="1280" t="n"/>
      <c r="AF27" s="1280" t="n"/>
      <c r="AG27" s="1280" t="n"/>
      <c r="AH27" s="1280" t="n"/>
      <c r="AI27" s="1280" t="n"/>
      <c r="AJ27" s="1280" t="n"/>
      <c r="AK27" s="1280" t="n"/>
      <c r="AL27" s="1280" t="n"/>
      <c r="AM27" s="1274">
        <f>IF(COUNTA(D27:AL27)=0,"",COUNTA(D27:AL27))</f>
        <v/>
      </c>
      <c r="AN27" s="1235" t="n"/>
      <c r="AO27" s="1241" t="n"/>
      <c r="AP27" s="1232" t="n"/>
      <c r="AR27" s="913">
        <f>IF(D27="X",1,0)</f>
        <v/>
      </c>
      <c r="AS27" s="913">
        <f>IF(E27="X",1,0)</f>
        <v/>
      </c>
      <c r="AT27" s="913">
        <f>IF(F27="X",1,0)</f>
        <v/>
      </c>
      <c r="AU27" s="913">
        <f>IF(G27="X",1,0)</f>
        <v/>
      </c>
      <c r="AV27" s="913">
        <f>IF(H27="X",1,0)</f>
        <v/>
      </c>
      <c r="AW27" s="913">
        <f>IF(I27="X",1,0)</f>
        <v/>
      </c>
      <c r="AX27" s="913">
        <f>IF(J27="X",1,0)</f>
        <v/>
      </c>
      <c r="AY27" s="913">
        <f>IF(K27="X",1,0)</f>
        <v/>
      </c>
      <c r="AZ27" s="913">
        <f>IF(L27="X",1,0)</f>
        <v/>
      </c>
      <c r="BA27" s="913">
        <f>IF(M27="X",1,0)</f>
        <v/>
      </c>
      <c r="BB27" s="913">
        <f>IF(N27="X",1,0)</f>
        <v/>
      </c>
      <c r="BC27" s="913">
        <f>IF(O27="X",1,0)</f>
        <v/>
      </c>
      <c r="BD27" s="913">
        <f>IF(P27="X",1,0)</f>
        <v/>
      </c>
      <c r="BE27" s="913">
        <f>IF(Q27="X",1,0)</f>
        <v/>
      </c>
      <c r="BF27" s="913">
        <f>IF(R27="X",1,0)</f>
        <v/>
      </c>
      <c r="BG27" s="913">
        <f>IF(S27="X",1,0)</f>
        <v/>
      </c>
      <c r="BH27" s="913">
        <f>IF(T27="X",1,0)</f>
        <v/>
      </c>
      <c r="BI27" s="913">
        <f>IF(U27="X",1,0)</f>
        <v/>
      </c>
      <c r="BJ27" s="913">
        <f>IF(V27="X",1,0)</f>
        <v/>
      </c>
      <c r="BK27" s="913">
        <f>IF(W27="X",1,0)</f>
        <v/>
      </c>
      <c r="BL27" s="913">
        <f>IF(X27="X",1,0)</f>
        <v/>
      </c>
      <c r="BM27" s="913">
        <f>IF(Y27="X",1,0)</f>
        <v/>
      </c>
      <c r="BN27" s="913">
        <f>IF(Z27="X",1,0)</f>
        <v/>
      </c>
      <c r="BO27" s="913">
        <f>IF(AA27="X",1,0)</f>
        <v/>
      </c>
      <c r="BP27" s="913">
        <f>IF(AB27="X",1,0)</f>
        <v/>
      </c>
      <c r="BQ27" s="913">
        <f>IF(AC27="X",1,0)</f>
        <v/>
      </c>
      <c r="BR27" s="913">
        <f>IF(AD27="X",1,0)</f>
        <v/>
      </c>
      <c r="BS27" s="913">
        <f>IF(AE27="X",1,0)</f>
        <v/>
      </c>
      <c r="BT27" s="913">
        <f>IF(AF27="X",1,0)</f>
        <v/>
      </c>
      <c r="BU27" s="913">
        <f>IF(AG27="X",1,0)</f>
        <v/>
      </c>
      <c r="BV27" s="913">
        <f>IF(AH27="X",1,0)</f>
        <v/>
      </c>
      <c r="BW27" s="913">
        <f>IF(AI27="X",1,0)</f>
        <v/>
      </c>
      <c r="BX27" s="913">
        <f>IF(AJ27="X",1,0)</f>
        <v/>
      </c>
      <c r="BY27" s="913">
        <f>IF(AK27="X",1,0)</f>
        <v/>
      </c>
      <c r="BZ27" s="913">
        <f>IF(AL27="X",1,0)</f>
        <v/>
      </c>
      <c r="CA27" s="913">
        <f>IF(AM27="X",1,0)</f>
        <v/>
      </c>
      <c r="CB27" s="913">
        <f>IF(AN27="X",1,0)</f>
        <v/>
      </c>
    </row>
    <row r="28" ht="14.25" customHeight="1" s="862">
      <c r="A28" s="1232" t="n"/>
      <c r="B28" s="927" t="n"/>
      <c r="C28" s="928" t="n"/>
      <c r="D28" s="1280" t="n"/>
      <c r="E28" s="1280" t="n"/>
      <c r="F28" s="1280" t="n"/>
      <c r="G28" s="1280" t="n"/>
      <c r="H28" s="1280" t="n"/>
      <c r="I28" s="1280" t="n"/>
      <c r="J28" s="1280" t="n"/>
      <c r="K28" s="1280" t="n"/>
      <c r="L28" s="1280" t="n"/>
      <c r="M28" s="1280" t="n"/>
      <c r="N28" s="1280" t="n"/>
      <c r="O28" s="1280" t="n"/>
      <c r="P28" s="1280" t="n"/>
      <c r="Q28" s="1280" t="n"/>
      <c r="R28" s="1280" t="n"/>
      <c r="S28" s="1280" t="n"/>
      <c r="T28" s="1280" t="n"/>
      <c r="U28" s="1280" t="n"/>
      <c r="V28" s="1280" t="n"/>
      <c r="W28" s="1280" t="n"/>
      <c r="X28" s="1280" t="n"/>
      <c r="Y28" s="1280" t="n"/>
      <c r="Z28" s="1280" t="n"/>
      <c r="AA28" s="1280" t="n"/>
      <c r="AB28" s="1280" t="n"/>
      <c r="AC28" s="1280" t="n"/>
      <c r="AD28" s="1280" t="n"/>
      <c r="AE28" s="1280" t="n"/>
      <c r="AF28" s="1280" t="n"/>
      <c r="AG28" s="1280" t="n"/>
      <c r="AH28" s="1280" t="n"/>
      <c r="AI28" s="1280" t="n"/>
      <c r="AJ28" s="1280" t="n"/>
      <c r="AK28" s="1280" t="n"/>
      <c r="AL28" s="1280" t="n"/>
      <c r="AM28" s="1274">
        <f>IF(COUNTA(D28:AL28)=0,"",COUNTA(D28:AL28))</f>
        <v/>
      </c>
      <c r="AN28" s="1235" t="n"/>
      <c r="AO28" s="1241" t="n"/>
      <c r="AP28" s="1232" t="n"/>
      <c r="AR28" s="913" t="n"/>
      <c r="AS28" s="913" t="n"/>
      <c r="AT28" s="913" t="n"/>
      <c r="AU28" s="913" t="n"/>
      <c r="AV28" s="913" t="n"/>
      <c r="AW28" s="913" t="n"/>
      <c r="AX28" s="913" t="n"/>
      <c r="AY28" s="913" t="n"/>
      <c r="AZ28" s="913" t="n"/>
      <c r="BA28" s="913" t="n"/>
      <c r="BB28" s="913" t="n"/>
      <c r="BC28" s="913" t="n"/>
      <c r="BD28" s="913" t="n"/>
      <c r="BE28" s="913" t="n"/>
      <c r="BF28" s="913" t="n"/>
      <c r="BG28" s="913" t="n"/>
      <c r="BH28" s="913" t="n"/>
      <c r="BI28" s="913" t="n"/>
      <c r="BJ28" s="913" t="n"/>
      <c r="BK28" s="913" t="n"/>
      <c r="BL28" s="913" t="n"/>
      <c r="BM28" s="913" t="n"/>
      <c r="BN28" s="913" t="n"/>
      <c r="BO28" s="913" t="n"/>
      <c r="BP28" s="913" t="n"/>
      <c r="BQ28" s="913" t="n"/>
      <c r="BR28" s="913" t="n"/>
      <c r="BS28" s="913" t="n"/>
      <c r="BT28" s="913" t="n"/>
      <c r="BU28" s="913" t="n"/>
      <c r="BV28" s="913" t="n"/>
      <c r="BW28" s="913" t="n"/>
      <c r="BX28" s="913" t="n"/>
      <c r="BY28" s="913" t="n"/>
      <c r="BZ28" s="913" t="n"/>
      <c r="CA28" s="913" t="n"/>
      <c r="CB28" s="913" t="n"/>
    </row>
    <row r="29" ht="14.25" customHeight="1" s="862">
      <c r="A29" s="1232" t="n"/>
      <c r="B29" s="927" t="n"/>
      <c r="C29" s="928" t="n"/>
      <c r="D29" s="1280" t="n"/>
      <c r="E29" s="1280" t="n"/>
      <c r="F29" s="1280" t="n"/>
      <c r="G29" s="1280" t="n"/>
      <c r="H29" s="1280" t="n"/>
      <c r="I29" s="1280" t="n"/>
      <c r="J29" s="1280" t="n"/>
      <c r="K29" s="1280" t="n"/>
      <c r="L29" s="1280" t="n"/>
      <c r="M29" s="1280" t="n"/>
      <c r="N29" s="1280" t="n"/>
      <c r="O29" s="1280" t="n"/>
      <c r="P29" s="1280" t="n"/>
      <c r="Q29" s="1280" t="n"/>
      <c r="R29" s="1280" t="n"/>
      <c r="S29" s="1280" t="n"/>
      <c r="T29" s="1280" t="n"/>
      <c r="U29" s="1280" t="n"/>
      <c r="V29" s="1280" t="n"/>
      <c r="W29" s="1280" t="n"/>
      <c r="X29" s="1280" t="n"/>
      <c r="Y29" s="1280" t="n"/>
      <c r="Z29" s="1280" t="n"/>
      <c r="AA29" s="1280" t="n"/>
      <c r="AB29" s="1280" t="n"/>
      <c r="AC29" s="1280" t="n"/>
      <c r="AD29" s="1280" t="n"/>
      <c r="AE29" s="1280" t="n"/>
      <c r="AF29" s="1280" t="n"/>
      <c r="AG29" s="1280" t="n"/>
      <c r="AH29" s="1280" t="n"/>
      <c r="AI29" s="1280" t="n"/>
      <c r="AJ29" s="1280" t="n"/>
      <c r="AK29" s="1280" t="n"/>
      <c r="AL29" s="1280" t="n"/>
      <c r="AM29" s="1274">
        <f>IF(COUNTA(D29:AL29)=0,"",COUNTA(D29:AL29))</f>
        <v/>
      </c>
      <c r="AN29" s="1235" t="n"/>
      <c r="AO29" s="1241" t="n"/>
      <c r="AP29" s="1232" t="n"/>
      <c r="AR29" s="913" t="n"/>
      <c r="AS29" s="913" t="n"/>
      <c r="AT29" s="913" t="n"/>
      <c r="AU29" s="913" t="n"/>
      <c r="AV29" s="913" t="n"/>
      <c r="AW29" s="913" t="n"/>
      <c r="AX29" s="913" t="n"/>
      <c r="AY29" s="913" t="n"/>
      <c r="AZ29" s="913" t="n"/>
      <c r="BA29" s="913" t="n"/>
      <c r="BB29" s="913" t="n"/>
      <c r="BC29" s="913" t="n"/>
      <c r="BD29" s="913" t="n"/>
      <c r="BE29" s="913" t="n"/>
      <c r="BF29" s="913" t="n"/>
      <c r="BG29" s="913" t="n"/>
      <c r="BH29" s="913" t="n"/>
      <c r="BI29" s="913" t="n"/>
      <c r="BJ29" s="913" t="n"/>
      <c r="BK29" s="913" t="n"/>
      <c r="BL29" s="913" t="n"/>
      <c r="BM29" s="913" t="n"/>
      <c r="BN29" s="913" t="n"/>
      <c r="BO29" s="913" t="n"/>
      <c r="BP29" s="913" t="n"/>
      <c r="BQ29" s="913" t="n"/>
      <c r="BR29" s="913" t="n"/>
      <c r="BS29" s="913" t="n"/>
      <c r="BT29" s="913" t="n"/>
      <c r="BU29" s="913" t="n"/>
      <c r="BV29" s="913" t="n"/>
      <c r="BW29" s="913" t="n"/>
      <c r="BX29" s="913" t="n"/>
      <c r="BY29" s="913" t="n"/>
      <c r="BZ29" s="913" t="n"/>
      <c r="CA29" s="913" t="n"/>
      <c r="CB29" s="913" t="n"/>
    </row>
    <row r="30" ht="14.25" customHeight="1" s="862">
      <c r="A30" s="1232" t="n"/>
      <c r="B30" s="927" t="n"/>
      <c r="C30" s="928" t="n"/>
      <c r="D30" s="1280" t="n"/>
      <c r="E30" s="1280" t="n"/>
      <c r="F30" s="1280" t="n"/>
      <c r="G30" s="1280" t="n"/>
      <c r="H30" s="1280" t="n"/>
      <c r="I30" s="1280" t="n"/>
      <c r="J30" s="1280" t="n"/>
      <c r="K30" s="1280" t="n"/>
      <c r="L30" s="1280" t="n"/>
      <c r="M30" s="1280" t="n"/>
      <c r="N30" s="1280" t="n"/>
      <c r="O30" s="1280" t="n"/>
      <c r="P30" s="1280" t="n"/>
      <c r="Q30" s="1280" t="n"/>
      <c r="R30" s="1280" t="n"/>
      <c r="S30" s="1280" t="n"/>
      <c r="T30" s="1280" t="n"/>
      <c r="U30" s="1280" t="n"/>
      <c r="V30" s="1280" t="n"/>
      <c r="W30" s="1280" t="n"/>
      <c r="X30" s="1280" t="n"/>
      <c r="Y30" s="1280" t="n"/>
      <c r="Z30" s="1280" t="n"/>
      <c r="AA30" s="1280" t="n"/>
      <c r="AB30" s="1280" t="n"/>
      <c r="AC30" s="1280" t="n"/>
      <c r="AD30" s="1280" t="n"/>
      <c r="AE30" s="1280" t="n"/>
      <c r="AF30" s="1280" t="n"/>
      <c r="AG30" s="1280" t="n"/>
      <c r="AH30" s="1280" t="n"/>
      <c r="AI30" s="1280" t="n"/>
      <c r="AJ30" s="1280" t="n"/>
      <c r="AK30" s="1280" t="n"/>
      <c r="AL30" s="1280" t="n"/>
      <c r="AM30" s="1274">
        <f>IF(COUNTA(D30:AL30)=0,"",COUNTA(D30:AL30))</f>
        <v/>
      </c>
      <c r="AN30" s="1235" t="n"/>
      <c r="AO30" s="1241" t="n"/>
      <c r="AP30" s="1232" t="n"/>
      <c r="AR30" s="913">
        <f>IF(D30="X",1,0)</f>
        <v/>
      </c>
      <c r="AS30" s="913">
        <f>IF(E30="X",1,0)</f>
        <v/>
      </c>
      <c r="AT30" s="913">
        <f>IF(F30="X",1,0)</f>
        <v/>
      </c>
      <c r="AU30" s="913">
        <f>IF(G30="X",1,0)</f>
        <v/>
      </c>
      <c r="AV30" s="913">
        <f>IF(H30="X",1,0)</f>
        <v/>
      </c>
      <c r="AW30" s="913">
        <f>IF(I30="X",1,0)</f>
        <v/>
      </c>
      <c r="AX30" s="913">
        <f>IF(J30="X",1,0)</f>
        <v/>
      </c>
      <c r="AY30" s="913">
        <f>IF(K30="X",1,0)</f>
        <v/>
      </c>
      <c r="AZ30" s="913">
        <f>IF(L30="X",1,0)</f>
        <v/>
      </c>
      <c r="BA30" s="913">
        <f>IF(M30="X",1,0)</f>
        <v/>
      </c>
      <c r="BB30" s="913">
        <f>IF(N30="X",1,0)</f>
        <v/>
      </c>
      <c r="BC30" s="913">
        <f>IF(O30="X",1,0)</f>
        <v/>
      </c>
      <c r="BD30" s="913">
        <f>IF(P30="X",1,0)</f>
        <v/>
      </c>
      <c r="BE30" s="913">
        <f>IF(Q30="X",1,0)</f>
        <v/>
      </c>
      <c r="BF30" s="913">
        <f>IF(R30="X",1,0)</f>
        <v/>
      </c>
      <c r="BG30" s="913">
        <f>IF(S30="X",1,0)</f>
        <v/>
      </c>
      <c r="BH30" s="913">
        <f>IF(T30="X",1,0)</f>
        <v/>
      </c>
      <c r="BI30" s="913">
        <f>IF(U30="X",1,0)</f>
        <v/>
      </c>
      <c r="BJ30" s="913">
        <f>IF(V30="X",1,0)</f>
        <v/>
      </c>
      <c r="BK30" s="913">
        <f>IF(W30="X",1,0)</f>
        <v/>
      </c>
      <c r="BL30" s="913">
        <f>IF(X30="X",1,0)</f>
        <v/>
      </c>
      <c r="BM30" s="913">
        <f>IF(Y30="X",1,0)</f>
        <v/>
      </c>
      <c r="BN30" s="913">
        <f>IF(Z30="X",1,0)</f>
        <v/>
      </c>
      <c r="BO30" s="913">
        <f>IF(AA30="X",1,0)</f>
        <v/>
      </c>
      <c r="BP30" s="913">
        <f>IF(AB30="X",1,0)</f>
        <v/>
      </c>
      <c r="BQ30" s="913">
        <f>IF(AC30="X",1,0)</f>
        <v/>
      </c>
      <c r="BR30" s="913">
        <f>IF(AD30="X",1,0)</f>
        <v/>
      </c>
      <c r="BS30" s="913">
        <f>IF(AE30="X",1,0)</f>
        <v/>
      </c>
      <c r="BT30" s="913">
        <f>IF(AF30="X",1,0)</f>
        <v/>
      </c>
      <c r="BU30" s="913">
        <f>IF(AG30="X",1,0)</f>
        <v/>
      </c>
      <c r="BV30" s="913">
        <f>IF(AH30="X",1,0)</f>
        <v/>
      </c>
      <c r="BW30" s="913">
        <f>IF(AI30="X",1,0)</f>
        <v/>
      </c>
      <c r="BX30" s="913">
        <f>IF(AJ30="X",1,0)</f>
        <v/>
      </c>
      <c r="BY30" s="913">
        <f>IF(AK30="X",1,0)</f>
        <v/>
      </c>
      <c r="BZ30" s="913">
        <f>IF(AL30="X",1,0)</f>
        <v/>
      </c>
      <c r="CA30" s="913">
        <f>IF(AM30="X",1,0)</f>
        <v/>
      </c>
      <c r="CB30" s="913">
        <f>IF(AN30="X",1,0)</f>
        <v/>
      </c>
    </row>
    <row r="31" ht="14.25" customHeight="1" s="862">
      <c r="A31" s="1232" t="n"/>
      <c r="B31" s="928" t="n"/>
      <c r="C31" s="928" t="n"/>
      <c r="D31" s="1280" t="n"/>
      <c r="E31" s="1280" t="n"/>
      <c r="F31" s="1280" t="n"/>
      <c r="G31" s="1280" t="n"/>
      <c r="H31" s="1280" t="n"/>
      <c r="I31" s="1280" t="n"/>
      <c r="J31" s="1280" t="n"/>
      <c r="K31" s="1280" t="n"/>
      <c r="L31" s="1280" t="n"/>
      <c r="M31" s="1280" t="n"/>
      <c r="N31" s="1280" t="n"/>
      <c r="O31" s="1280" t="n"/>
      <c r="P31" s="1280" t="n"/>
      <c r="Q31" s="1280" t="n"/>
      <c r="R31" s="1280" t="n"/>
      <c r="S31" s="1280" t="n"/>
      <c r="T31" s="1280" t="n"/>
      <c r="U31" s="1280" t="n"/>
      <c r="V31" s="1280" t="n"/>
      <c r="W31" s="1280" t="n"/>
      <c r="X31" s="1280" t="n"/>
      <c r="Y31" s="1280" t="n"/>
      <c r="Z31" s="1280" t="n"/>
      <c r="AA31" s="1280" t="n"/>
      <c r="AB31" s="1280" t="n"/>
      <c r="AC31" s="1280" t="n"/>
      <c r="AD31" s="1280" t="n"/>
      <c r="AE31" s="1280" t="n"/>
      <c r="AF31" s="1280" t="n"/>
      <c r="AG31" s="1280" t="n"/>
      <c r="AH31" s="1280" t="n"/>
      <c r="AI31" s="1280" t="n"/>
      <c r="AJ31" s="1280" t="n"/>
      <c r="AK31" s="1280" t="n"/>
      <c r="AL31" s="1280" t="n"/>
      <c r="AM31" s="1274">
        <f>IF(COUNTA(D31:AL31)=0,"",COUNTA(D31:AL31))</f>
        <v/>
      </c>
      <c r="AN31" s="1235" t="n"/>
      <c r="AO31" s="1241" t="n"/>
      <c r="AP31" s="1232" t="n"/>
      <c r="AR31" s="913" t="n"/>
      <c r="AS31" s="913" t="n"/>
      <c r="AT31" s="913" t="n"/>
      <c r="AU31" s="913" t="n"/>
      <c r="AV31" s="913" t="n"/>
      <c r="AW31" s="913" t="n"/>
      <c r="AX31" s="913" t="n"/>
      <c r="AY31" s="913" t="n"/>
      <c r="AZ31" s="913" t="n"/>
      <c r="BA31" s="913" t="n"/>
      <c r="BB31" s="913" t="n"/>
      <c r="BC31" s="913" t="n"/>
      <c r="BD31" s="913" t="n"/>
      <c r="BE31" s="913" t="n"/>
      <c r="BF31" s="913" t="n"/>
      <c r="BG31" s="913" t="n"/>
      <c r="BH31" s="913" t="n"/>
      <c r="BI31" s="913" t="n"/>
      <c r="BJ31" s="913" t="n"/>
      <c r="BK31" s="913" t="n"/>
      <c r="BL31" s="913" t="n"/>
      <c r="BM31" s="913" t="n"/>
      <c r="BN31" s="913" t="n"/>
      <c r="BO31" s="913" t="n"/>
      <c r="BP31" s="913" t="n"/>
      <c r="BQ31" s="913" t="n"/>
      <c r="BR31" s="913" t="n"/>
      <c r="BS31" s="913" t="n"/>
      <c r="BT31" s="913" t="n"/>
      <c r="BU31" s="913" t="n"/>
      <c r="BV31" s="913" t="n"/>
      <c r="BW31" s="913" t="n"/>
      <c r="BX31" s="913" t="n"/>
      <c r="BY31" s="913" t="n"/>
      <c r="BZ31" s="913" t="n"/>
      <c r="CA31" s="913" t="n"/>
      <c r="CB31" s="913" t="n"/>
    </row>
    <row r="32" ht="14.25" customHeight="1" s="862">
      <c r="A32" s="1232" t="n"/>
      <c r="B32" s="928" t="n"/>
      <c r="C32" s="928" t="n"/>
      <c r="D32" s="1280" t="n"/>
      <c r="E32" s="1280" t="n"/>
      <c r="F32" s="1280" t="n"/>
      <c r="G32" s="1280" t="n"/>
      <c r="H32" s="1280" t="n"/>
      <c r="I32" s="1280" t="n"/>
      <c r="J32" s="1280" t="n"/>
      <c r="K32" s="1280" t="n"/>
      <c r="L32" s="1280" t="n"/>
      <c r="M32" s="1280" t="n"/>
      <c r="N32" s="1280" t="n"/>
      <c r="O32" s="1280" t="n"/>
      <c r="P32" s="1280" t="n"/>
      <c r="Q32" s="1280" t="n"/>
      <c r="R32" s="1280" t="n"/>
      <c r="S32" s="1280" t="n"/>
      <c r="T32" s="1280" t="n"/>
      <c r="U32" s="1280" t="n"/>
      <c r="V32" s="1280" t="n"/>
      <c r="W32" s="1280" t="n"/>
      <c r="X32" s="1280" t="n"/>
      <c r="Y32" s="1280" t="n"/>
      <c r="Z32" s="1280" t="n"/>
      <c r="AA32" s="1280" t="n"/>
      <c r="AB32" s="1280" t="n"/>
      <c r="AC32" s="1280" t="n"/>
      <c r="AD32" s="1280" t="n"/>
      <c r="AE32" s="1280" t="n"/>
      <c r="AF32" s="1280" t="n"/>
      <c r="AG32" s="1280" t="n"/>
      <c r="AH32" s="1280" t="n"/>
      <c r="AI32" s="1280" t="n"/>
      <c r="AJ32" s="1280" t="n"/>
      <c r="AK32" s="1280" t="n"/>
      <c r="AL32" s="1280" t="n"/>
      <c r="AM32" s="1274">
        <f>IF(COUNTA(D32:AL32)=0,"",COUNTA(D32:AL32))</f>
        <v/>
      </c>
      <c r="AN32" s="1235" t="n"/>
      <c r="AO32" s="1241" t="n"/>
      <c r="AP32" s="1232" t="n"/>
      <c r="AR32" s="913" t="n"/>
      <c r="AS32" s="913" t="n"/>
      <c r="AT32" s="913" t="n"/>
      <c r="AU32" s="913" t="n"/>
      <c r="AV32" s="913" t="n"/>
      <c r="AW32" s="913" t="n"/>
      <c r="AX32" s="913" t="n"/>
      <c r="AY32" s="913" t="n"/>
      <c r="AZ32" s="913" t="n"/>
      <c r="BA32" s="913" t="n"/>
      <c r="BB32" s="913" t="n"/>
      <c r="BC32" s="913" t="n"/>
      <c r="BD32" s="913" t="n"/>
      <c r="BE32" s="913" t="n"/>
      <c r="BF32" s="913" t="n"/>
      <c r="BG32" s="913" t="n"/>
      <c r="BH32" s="913" t="n"/>
      <c r="BI32" s="913" t="n"/>
      <c r="BJ32" s="913" t="n"/>
      <c r="BK32" s="913" t="n"/>
      <c r="BL32" s="913" t="n"/>
      <c r="BM32" s="913" t="n"/>
      <c r="BN32" s="913" t="n"/>
      <c r="BO32" s="913" t="n"/>
      <c r="BP32" s="913" t="n"/>
      <c r="BQ32" s="913" t="n"/>
      <c r="BR32" s="913" t="n"/>
      <c r="BS32" s="913" t="n"/>
      <c r="BT32" s="913" t="n"/>
      <c r="BU32" s="913" t="n"/>
      <c r="BV32" s="913" t="n"/>
      <c r="BW32" s="913" t="n"/>
      <c r="BX32" s="913" t="n"/>
      <c r="BY32" s="913" t="n"/>
      <c r="BZ32" s="913" t="n"/>
      <c r="CA32" s="913" t="n"/>
      <c r="CB32" s="913" t="n"/>
    </row>
    <row r="33" ht="14.25" customHeight="1" s="862">
      <c r="A33" s="1232" t="n"/>
      <c r="B33" s="928" t="n"/>
      <c r="C33" s="928" t="n"/>
      <c r="D33" s="1280" t="n"/>
      <c r="E33" s="1280" t="n"/>
      <c r="F33" s="1280" t="n"/>
      <c r="G33" s="1280" t="n"/>
      <c r="H33" s="1280" t="n"/>
      <c r="I33" s="1280" t="n"/>
      <c r="J33" s="1280" t="n"/>
      <c r="K33" s="1280" t="n"/>
      <c r="L33" s="1280" t="n"/>
      <c r="M33" s="1280" t="n"/>
      <c r="N33" s="1280" t="n"/>
      <c r="O33" s="1280" t="n"/>
      <c r="P33" s="1280" t="n"/>
      <c r="Q33" s="1280" t="n"/>
      <c r="R33" s="1280" t="n"/>
      <c r="S33" s="1280" t="n"/>
      <c r="T33" s="1280" t="n"/>
      <c r="U33" s="1280" t="n"/>
      <c r="V33" s="1280" t="n"/>
      <c r="W33" s="1280" t="n"/>
      <c r="X33" s="1280" t="n"/>
      <c r="Y33" s="1280" t="n"/>
      <c r="Z33" s="1280" t="n"/>
      <c r="AA33" s="1280" t="n"/>
      <c r="AB33" s="1280" t="n"/>
      <c r="AC33" s="1280" t="n"/>
      <c r="AD33" s="1280" t="n"/>
      <c r="AE33" s="1280" t="n"/>
      <c r="AF33" s="1280" t="n"/>
      <c r="AG33" s="1280" t="n"/>
      <c r="AH33" s="1280" t="n"/>
      <c r="AI33" s="1280" t="n"/>
      <c r="AJ33" s="1280" t="n"/>
      <c r="AK33" s="1280" t="n"/>
      <c r="AL33" s="1280" t="n"/>
      <c r="AM33" s="1274">
        <f>IF(COUNTA(D33:AL33)=0,"",COUNTA(D33:AL33))</f>
        <v/>
      </c>
      <c r="AN33" s="1235" t="n"/>
      <c r="AO33" s="1241" t="n"/>
      <c r="AP33" s="1232" t="n"/>
      <c r="AR33" s="913">
        <f>IF(D33="X",1,0)</f>
        <v/>
      </c>
      <c r="AS33" s="913">
        <f>IF(E33="X",1,0)</f>
        <v/>
      </c>
      <c r="AT33" s="913">
        <f>IF(F33="X",1,0)</f>
        <v/>
      </c>
      <c r="AU33" s="913">
        <f>IF(G33="X",1,0)</f>
        <v/>
      </c>
      <c r="AV33" s="913">
        <f>IF(H33="X",1,0)</f>
        <v/>
      </c>
      <c r="AW33" s="913">
        <f>IF(I33="X",1,0)</f>
        <v/>
      </c>
      <c r="AX33" s="913">
        <f>IF(J33="X",1,0)</f>
        <v/>
      </c>
      <c r="AY33" s="913">
        <f>IF(K33="X",1,0)</f>
        <v/>
      </c>
      <c r="AZ33" s="913">
        <f>IF(L33="X",1,0)</f>
        <v/>
      </c>
      <c r="BA33" s="913">
        <f>IF(M33="X",1,0)</f>
        <v/>
      </c>
      <c r="BB33" s="913">
        <f>IF(N33="X",1,0)</f>
        <v/>
      </c>
      <c r="BC33" s="913">
        <f>IF(O33="X",1,0)</f>
        <v/>
      </c>
      <c r="BD33" s="913">
        <f>IF(P33="X",1,0)</f>
        <v/>
      </c>
      <c r="BE33" s="913">
        <f>IF(Q33="X",1,0)</f>
        <v/>
      </c>
      <c r="BF33" s="913">
        <f>IF(R33="X",1,0)</f>
        <v/>
      </c>
      <c r="BG33" s="913">
        <f>IF(S33="X",1,0)</f>
        <v/>
      </c>
      <c r="BH33" s="913">
        <f>IF(T33="X",1,0)</f>
        <v/>
      </c>
      <c r="BI33" s="913">
        <f>IF(U33="X",1,0)</f>
        <v/>
      </c>
      <c r="BJ33" s="913">
        <f>IF(V33="X",1,0)</f>
        <v/>
      </c>
      <c r="BK33" s="913">
        <f>IF(W33="X",1,0)</f>
        <v/>
      </c>
      <c r="BL33" s="913">
        <f>IF(X33="X",1,0)</f>
        <v/>
      </c>
      <c r="BM33" s="913">
        <f>IF(Y33="X",1,0)</f>
        <v/>
      </c>
      <c r="BN33" s="913">
        <f>IF(Z33="X",1,0)</f>
        <v/>
      </c>
      <c r="BO33" s="913">
        <f>IF(AA33="X",1,0)</f>
        <v/>
      </c>
      <c r="BP33" s="913">
        <f>IF(AB33="X",1,0)</f>
        <v/>
      </c>
      <c r="BQ33" s="913">
        <f>IF(AC33="X",1,0)</f>
        <v/>
      </c>
      <c r="BR33" s="913">
        <f>IF(AD33="X",1,0)</f>
        <v/>
      </c>
      <c r="BS33" s="913">
        <f>IF(AE33="X",1,0)</f>
        <v/>
      </c>
      <c r="BT33" s="913">
        <f>IF(AF33="X",1,0)</f>
        <v/>
      </c>
      <c r="BU33" s="913">
        <f>IF(AG33="X",1,0)</f>
        <v/>
      </c>
      <c r="BV33" s="913">
        <f>IF(AH33="X",1,0)</f>
        <v/>
      </c>
      <c r="BW33" s="913">
        <f>IF(AI33="X",1,0)</f>
        <v/>
      </c>
      <c r="BX33" s="913">
        <f>IF(AJ33="X",1,0)</f>
        <v/>
      </c>
      <c r="BY33" s="913">
        <f>IF(AK33="X",1,0)</f>
        <v/>
      </c>
      <c r="BZ33" s="913">
        <f>IF(AL33="X",1,0)</f>
        <v/>
      </c>
      <c r="CA33" s="913">
        <f>IF(AM33="X",1,0)</f>
        <v/>
      </c>
      <c r="CB33" s="913">
        <f>IF(AN33="X",1,0)</f>
        <v/>
      </c>
    </row>
    <row r="34" ht="14.25" customHeight="1" s="862">
      <c r="A34" s="1232" t="n"/>
      <c r="B34" s="928" t="n"/>
      <c r="C34" s="928" t="n"/>
      <c r="D34" s="1280" t="n"/>
      <c r="E34" s="1280" t="n"/>
      <c r="F34" s="1280" t="n"/>
      <c r="G34" s="1280" t="n"/>
      <c r="H34" s="1280" t="n"/>
      <c r="I34" s="1280" t="n"/>
      <c r="J34" s="1280" t="n"/>
      <c r="K34" s="1280" t="n"/>
      <c r="L34" s="1280" t="n"/>
      <c r="M34" s="1280" t="n"/>
      <c r="N34" s="1280" t="n"/>
      <c r="O34" s="1280" t="n"/>
      <c r="P34" s="1280" t="n"/>
      <c r="Q34" s="1280" t="n"/>
      <c r="R34" s="1280" t="n"/>
      <c r="S34" s="1280" t="n"/>
      <c r="T34" s="1280" t="n"/>
      <c r="U34" s="1280" t="n"/>
      <c r="V34" s="1280" t="n"/>
      <c r="W34" s="1280" t="n"/>
      <c r="X34" s="1280" t="n"/>
      <c r="Y34" s="1280" t="n"/>
      <c r="Z34" s="1280" t="n"/>
      <c r="AA34" s="1280" t="n"/>
      <c r="AB34" s="1280" t="n"/>
      <c r="AC34" s="1280" t="n"/>
      <c r="AD34" s="1280" t="n"/>
      <c r="AE34" s="1280" t="n"/>
      <c r="AF34" s="1280" t="n"/>
      <c r="AG34" s="1280" t="n"/>
      <c r="AH34" s="1280" t="n"/>
      <c r="AI34" s="1280" t="n"/>
      <c r="AJ34" s="1280" t="n"/>
      <c r="AK34" s="1280" t="n"/>
      <c r="AL34" s="1280" t="n"/>
      <c r="AM34" s="1274">
        <f>IF(COUNTA(D34:AL34)=0,"",COUNTA(D34:AL34))</f>
        <v/>
      </c>
      <c r="AN34" s="1235" t="n"/>
      <c r="AO34" s="1241" t="n"/>
      <c r="AP34" s="1232" t="n"/>
      <c r="AR34" s="913">
        <f>IF(D34="X",1,0)</f>
        <v/>
      </c>
      <c r="AS34" s="913">
        <f>IF(E34="X",1,0)</f>
        <v/>
      </c>
      <c r="AT34" s="913">
        <f>IF(F34="X",1,0)</f>
        <v/>
      </c>
      <c r="AU34" s="913">
        <f>IF(G34="X",1,0)</f>
        <v/>
      </c>
      <c r="AV34" s="913">
        <f>IF(H34="X",1,0)</f>
        <v/>
      </c>
      <c r="AW34" s="913">
        <f>IF(I34="X",1,0)</f>
        <v/>
      </c>
      <c r="AX34" s="913">
        <f>IF(J34="X",1,0)</f>
        <v/>
      </c>
      <c r="AY34" s="913">
        <f>IF(K34="X",1,0)</f>
        <v/>
      </c>
      <c r="AZ34" s="913">
        <f>IF(L34="X",1,0)</f>
        <v/>
      </c>
      <c r="BA34" s="913">
        <f>IF(M34="X",1,0)</f>
        <v/>
      </c>
      <c r="BB34" s="913">
        <f>IF(N34="X",1,0)</f>
        <v/>
      </c>
      <c r="BC34" s="913">
        <f>IF(O34="X",1,0)</f>
        <v/>
      </c>
      <c r="BD34" s="913">
        <f>IF(P34="X",1,0)</f>
        <v/>
      </c>
      <c r="BE34" s="913">
        <f>IF(Q34="X",1,0)</f>
        <v/>
      </c>
      <c r="BF34" s="913">
        <f>IF(R34="X",1,0)</f>
        <v/>
      </c>
      <c r="BG34" s="913">
        <f>IF(S34="X",1,0)</f>
        <v/>
      </c>
      <c r="BH34" s="913">
        <f>IF(T34="X",1,0)</f>
        <v/>
      </c>
      <c r="BI34" s="913">
        <f>IF(U34="X",1,0)</f>
        <v/>
      </c>
      <c r="BJ34" s="913">
        <f>IF(V34="X",1,0)</f>
        <v/>
      </c>
      <c r="BK34" s="913">
        <f>IF(W34="X",1,0)</f>
        <v/>
      </c>
      <c r="BL34" s="913">
        <f>IF(X34="X",1,0)</f>
        <v/>
      </c>
      <c r="BM34" s="913">
        <f>IF(Y34="X",1,0)</f>
        <v/>
      </c>
      <c r="BN34" s="913">
        <f>IF(Z34="X",1,0)</f>
        <v/>
      </c>
      <c r="BO34" s="913">
        <f>IF(AA34="X",1,0)</f>
        <v/>
      </c>
      <c r="BP34" s="913">
        <f>IF(AB34="X",1,0)</f>
        <v/>
      </c>
      <c r="BQ34" s="913">
        <f>IF(AC34="X",1,0)</f>
        <v/>
      </c>
      <c r="BR34" s="913">
        <f>IF(AD34="X",1,0)</f>
        <v/>
      </c>
      <c r="BS34" s="913">
        <f>IF(AE34="X",1,0)</f>
        <v/>
      </c>
      <c r="BT34" s="913">
        <f>IF(AF34="X",1,0)</f>
        <v/>
      </c>
      <c r="BU34" s="913">
        <f>IF(AG34="X",1,0)</f>
        <v/>
      </c>
      <c r="BV34" s="913">
        <f>IF(AH34="X",1,0)</f>
        <v/>
      </c>
      <c r="BW34" s="913">
        <f>IF(AI34="X",1,0)</f>
        <v/>
      </c>
      <c r="BX34" s="913">
        <f>IF(AJ34="X",1,0)</f>
        <v/>
      </c>
      <c r="BY34" s="913">
        <f>IF(AK34="X",1,0)</f>
        <v/>
      </c>
      <c r="BZ34" s="913">
        <f>IF(AL34="X",1,0)</f>
        <v/>
      </c>
      <c r="CA34" s="913">
        <f>IF(AM34="X",1,0)</f>
        <v/>
      </c>
      <c r="CB34" s="913">
        <f>IF(AN34="X",1,0)</f>
        <v/>
      </c>
    </row>
    <row r="35" ht="9.75" customHeight="1" s="862">
      <c r="A35" s="1232" t="n"/>
      <c r="B35" s="1282" t="inlineStr">
        <is>
          <t>Operational Hours:</t>
        </is>
      </c>
      <c r="C35" s="1238" t="n"/>
      <c r="D35" s="1283" t="n"/>
      <c r="E35" s="1237" t="n"/>
      <c r="F35" s="1237" t="n"/>
      <c r="G35" s="1237" t="n"/>
      <c r="H35" s="1237" t="n"/>
      <c r="I35" s="1237" t="n"/>
      <c r="J35" s="1237" t="n"/>
      <c r="K35" s="1237" t="n"/>
      <c r="L35" s="1237" t="n"/>
      <c r="M35" s="1237" t="n"/>
      <c r="N35" s="1237" t="n"/>
      <c r="O35" s="1237" t="n"/>
      <c r="P35" s="1237" t="n"/>
      <c r="Q35" s="1237" t="n"/>
      <c r="R35" s="1237" t="n"/>
      <c r="S35" s="1237" t="n"/>
      <c r="T35" s="1237" t="n"/>
      <c r="U35" s="1237" t="n"/>
      <c r="V35" s="1237" t="n"/>
      <c r="W35" s="1237" t="n"/>
      <c r="X35" s="1237" t="n"/>
      <c r="Y35" s="1237" t="n"/>
      <c r="Z35" s="1237" t="n"/>
      <c r="AA35" s="1237" t="n"/>
      <c r="AB35" s="1237" t="n"/>
      <c r="AC35" s="1237" t="n"/>
      <c r="AD35" s="1237" t="n"/>
      <c r="AE35" s="1237" t="n"/>
      <c r="AF35" s="1237" t="n"/>
      <c r="AG35" s="1237" t="n"/>
      <c r="AH35" s="1237" t="n"/>
      <c r="AI35" s="1237" t="n"/>
      <c r="AJ35" s="1237" t="n"/>
      <c r="AK35" s="1237" t="n"/>
      <c r="AL35" s="1237" t="n"/>
      <c r="AM35" s="1237" t="n"/>
      <c r="AN35" s="1237" t="n"/>
      <c r="AO35" s="1238" t="n"/>
      <c r="AP35" s="1232" t="n"/>
    </row>
    <row r="36" ht="9.75" customHeight="1" s="862">
      <c r="A36" s="1232" t="n"/>
      <c r="B36" s="1258" t="n"/>
      <c r="C36" s="1260" t="n"/>
      <c r="D36" s="1258" t="n"/>
      <c r="E36" s="1259" t="n"/>
      <c r="F36" s="1259" t="n"/>
      <c r="G36" s="1259" t="n"/>
      <c r="H36" s="1259" t="n"/>
      <c r="I36" s="1259" t="n"/>
      <c r="J36" s="1259" t="n"/>
      <c r="K36" s="1259" t="n"/>
      <c r="L36" s="1259" t="n"/>
      <c r="M36" s="1259" t="n"/>
      <c r="N36" s="1259" t="n"/>
      <c r="O36" s="1259" t="n"/>
      <c r="P36" s="1259" t="n"/>
      <c r="Q36" s="1259" t="n"/>
      <c r="R36" s="1259" t="n"/>
      <c r="S36" s="1259" t="n"/>
      <c r="T36" s="1259" t="n"/>
      <c r="U36" s="1259" t="n"/>
      <c r="V36" s="1259" t="n"/>
      <c r="W36" s="1259" t="n"/>
      <c r="X36" s="1259" t="n"/>
      <c r="Y36" s="1259" t="n"/>
      <c r="Z36" s="1259" t="n"/>
      <c r="AA36" s="1259" t="n"/>
      <c r="AB36" s="1259" t="n"/>
      <c r="AC36" s="1259" t="n"/>
      <c r="AD36" s="1259" t="n"/>
      <c r="AE36" s="1259" t="n"/>
      <c r="AF36" s="1259" t="n"/>
      <c r="AG36" s="1259" t="n"/>
      <c r="AH36" s="1259" t="n"/>
      <c r="AI36" s="1259" t="n"/>
      <c r="AJ36" s="1259" t="n"/>
      <c r="AK36" s="1259" t="n"/>
      <c r="AL36" s="1259" t="n"/>
      <c r="AM36" s="1259" t="n"/>
      <c r="AN36" s="1259" t="n"/>
      <c r="AO36" s="1260" t="n"/>
      <c r="AP36" s="1232" t="n"/>
    </row>
    <row r="37" ht="19.5" customHeight="1" s="862">
      <c r="A37" s="1232" t="n"/>
      <c r="B37" s="1284" t="inlineStr">
        <is>
          <t xml:space="preserve">Supplier - Rep. </t>
        </is>
      </c>
      <c r="C37" s="1285">
        <f>'Master Data'!B21</f>
        <v/>
      </c>
      <c r="D37" s="1235" t="n"/>
      <c r="E37" s="1235" t="n"/>
      <c r="F37" s="1235" t="n"/>
      <c r="G37" s="1235" t="n"/>
      <c r="H37" s="1241" t="n"/>
      <c r="I37" s="1286" t="inlineStr">
        <is>
          <t>Customer Rep.</t>
        </is>
      </c>
      <c r="J37" s="1235" t="n"/>
      <c r="K37" s="1235" t="n"/>
      <c r="L37" s="1235" t="n"/>
      <c r="M37" s="1235" t="n"/>
      <c r="N37" s="1235" t="n"/>
      <c r="O37" s="1235" t="n"/>
      <c r="P37" s="1235" t="n"/>
      <c r="Q37" s="1235" t="n"/>
      <c r="R37" s="1235" t="n"/>
      <c r="S37" s="1235" t="n"/>
      <c r="T37" s="1235" t="n"/>
      <c r="U37" s="1241" t="n"/>
      <c r="V37" s="1286">
        <f>'Master Data'!B4</f>
        <v/>
      </c>
      <c r="W37" s="1235" t="n"/>
      <c r="X37" s="1235" t="n"/>
      <c r="Y37" s="1235" t="n"/>
      <c r="Z37" s="1235" t="n"/>
      <c r="AA37" s="1235" t="n"/>
      <c r="AB37" s="1235" t="n"/>
      <c r="AC37" s="1235" t="n"/>
      <c r="AD37" s="1235" t="n"/>
      <c r="AE37" s="1235" t="n"/>
      <c r="AF37" s="1235" t="n"/>
      <c r="AG37" s="1241" t="n"/>
      <c r="AH37" s="1287" t="inlineStr">
        <is>
          <t xml:space="preserve">Customer Stamp </t>
        </is>
      </c>
      <c r="AI37" s="1237" t="n"/>
      <c r="AJ37" s="1237" t="n"/>
      <c r="AK37" s="1237" t="n"/>
      <c r="AL37" s="1237" t="n"/>
      <c r="AM37" s="1237" t="n"/>
      <c r="AN37" s="1237" t="n"/>
      <c r="AO37" s="1238" t="n"/>
      <c r="AP37" s="1232" t="n"/>
    </row>
    <row r="38" ht="19.5" customHeight="1" s="862">
      <c r="A38" s="1232" t="n"/>
      <c r="B38" s="1284" t="inlineStr">
        <is>
          <t>Signature</t>
        </is>
      </c>
      <c r="C38" s="1285" t="n"/>
      <c r="D38" s="1235" t="n"/>
      <c r="E38" s="1235" t="n"/>
      <c r="F38" s="1235" t="n"/>
      <c r="G38" s="1235" t="n"/>
      <c r="H38" s="1241" t="n"/>
      <c r="I38" s="1286" t="inlineStr">
        <is>
          <t>Signature</t>
        </is>
      </c>
      <c r="J38" s="1235" t="n"/>
      <c r="K38" s="1235" t="n"/>
      <c r="L38" s="1235" t="n"/>
      <c r="M38" s="1235" t="n"/>
      <c r="N38" s="1235" t="n"/>
      <c r="O38" s="1235" t="n"/>
      <c r="P38" s="1235" t="n"/>
      <c r="Q38" s="1235" t="n"/>
      <c r="R38" s="1235" t="n"/>
      <c r="S38" s="1235" t="n"/>
      <c r="T38" s="1235" t="n"/>
      <c r="U38" s="1241" t="n"/>
      <c r="V38" s="1286" t="n"/>
      <c r="W38" s="1235" t="n"/>
      <c r="X38" s="1235" t="n"/>
      <c r="Y38" s="1235" t="n"/>
      <c r="Z38" s="1235" t="n"/>
      <c r="AA38" s="1235" t="n"/>
      <c r="AB38" s="1235" t="n"/>
      <c r="AC38" s="1235" t="n"/>
      <c r="AD38" s="1235" t="n"/>
      <c r="AE38" s="1235" t="n"/>
      <c r="AF38" s="1235" t="n"/>
      <c r="AG38" s="1241" t="n"/>
      <c r="AH38" s="1242" t="n"/>
      <c r="AI38" s="1243" t="n"/>
      <c r="AJ38" s="1243" t="n"/>
      <c r="AK38" s="1243" t="n"/>
      <c r="AL38" s="1243" t="n"/>
      <c r="AM38" s="1243" t="n"/>
      <c r="AN38" s="1243" t="n"/>
      <c r="AO38" s="1244" t="n"/>
      <c r="AP38" s="1232" t="n"/>
    </row>
    <row r="39" ht="18.75" customHeight="1" s="862">
      <c r="A39" s="1232" t="n"/>
      <c r="B39" s="1284" t="inlineStr">
        <is>
          <t xml:space="preserve">Date :- </t>
        </is>
      </c>
      <c r="C39" s="1288">
        <f>'Master Data'!E24</f>
        <v/>
      </c>
      <c r="D39" s="980" t="n"/>
      <c r="E39" s="980" t="n"/>
      <c r="F39" s="980" t="n"/>
      <c r="G39" s="980" t="n"/>
      <c r="H39" s="981" t="n"/>
      <c r="I39" s="1285" t="inlineStr">
        <is>
          <t xml:space="preserve">Date :- </t>
        </is>
      </c>
      <c r="J39" s="1235" t="n"/>
      <c r="K39" s="1235" t="n"/>
      <c r="L39" s="1235" t="n"/>
      <c r="M39" s="1235" t="n"/>
      <c r="N39" s="1235" t="n"/>
      <c r="O39" s="1235" t="n"/>
      <c r="P39" s="1235" t="n"/>
      <c r="Q39" s="1235" t="n"/>
      <c r="R39" s="1235" t="n"/>
      <c r="S39" s="1235" t="n"/>
      <c r="T39" s="1235" t="n"/>
      <c r="U39" s="1241" t="n"/>
      <c r="V39" s="1288">
        <f>'Master Data'!E24</f>
        <v/>
      </c>
      <c r="W39" s="980" t="n"/>
      <c r="X39" s="980" t="n"/>
      <c r="Y39" s="980" t="n"/>
      <c r="Z39" s="980" t="n"/>
      <c r="AA39" s="980" t="n"/>
      <c r="AB39" s="980" t="n"/>
      <c r="AC39" s="980" t="n"/>
      <c r="AD39" s="980" t="n"/>
      <c r="AE39" s="980" t="n"/>
      <c r="AF39" s="980" t="n"/>
      <c r="AG39" s="981" t="n"/>
      <c r="AH39" s="1258" t="n"/>
      <c r="AI39" s="1259" t="n"/>
      <c r="AJ39" s="1259" t="n"/>
      <c r="AK39" s="1259" t="n"/>
      <c r="AL39" s="1259" t="n"/>
      <c r="AM39" s="1259" t="n"/>
      <c r="AN39" s="1259" t="n"/>
      <c r="AO39" s="1260" t="n"/>
      <c r="AP39" s="1232" t="n"/>
      <c r="AR39" s="913" t="n"/>
      <c r="AS39" s="913" t="n"/>
      <c r="AT39" s="913" t="n"/>
      <c r="AU39" s="913" t="n"/>
      <c r="AV39" s="913" t="n"/>
      <c r="AW39" s="913" t="n"/>
      <c r="AX39" s="913" t="n"/>
      <c r="AY39" s="913" t="n"/>
      <c r="AZ39" s="913" t="n"/>
      <c r="BA39" s="913" t="n"/>
      <c r="BB39" s="913" t="n"/>
      <c r="BC39" s="913" t="n"/>
      <c r="BD39" s="913" t="n"/>
      <c r="BE39" s="913" t="n"/>
      <c r="BF39" s="913" t="n"/>
      <c r="BG39" s="913" t="n"/>
      <c r="BH39" s="913" t="n"/>
      <c r="BI39" s="913" t="n"/>
      <c r="BJ39" s="913" t="n"/>
      <c r="BK39" s="913" t="n"/>
      <c r="BL39" s="913" t="n"/>
      <c r="BM39" s="913" t="n"/>
      <c r="BN39" s="913" t="n"/>
      <c r="BO39" s="913" t="n"/>
      <c r="BP39" s="913" t="n"/>
      <c r="BQ39" s="913" t="n"/>
      <c r="BR39" s="913" t="n"/>
      <c r="BS39" s="913" t="n"/>
      <c r="BT39" s="913" t="n"/>
      <c r="BU39" s="913" t="n"/>
      <c r="BV39" s="913" t="n"/>
      <c r="BW39" s="913" t="n"/>
      <c r="BX39" s="913" t="n"/>
      <c r="BY39" s="913" t="n"/>
      <c r="BZ39" s="913" t="n"/>
      <c r="CA39" s="913" t="n"/>
      <c r="CB39" s="913" t="n"/>
    </row>
    <row r="40" ht="14.25" customHeight="1" s="862">
      <c r="A40" s="1232" t="n"/>
      <c r="B40" s="1232" t="n"/>
      <c r="C40" s="1232" t="n"/>
      <c r="D40" s="1232" t="n"/>
      <c r="E40" s="1232" t="n"/>
      <c r="F40" s="1232" t="n"/>
      <c r="G40" s="1232" t="n"/>
      <c r="H40" s="1232" t="n"/>
      <c r="I40" s="1232" t="n"/>
      <c r="J40" s="1232" t="n"/>
      <c r="K40" s="1232" t="n"/>
      <c r="L40" s="1232" t="n"/>
      <c r="M40" s="1232" t="n"/>
      <c r="N40" s="1232" t="n"/>
      <c r="O40" s="1232" t="n"/>
      <c r="P40" s="1232" t="n"/>
      <c r="Q40" s="1232" t="n"/>
      <c r="R40" s="1232" t="n"/>
      <c r="S40" s="1232" t="n"/>
      <c r="T40" s="1232" t="n"/>
      <c r="U40" s="1232" t="n"/>
      <c r="V40" s="1232" t="n"/>
      <c r="W40" s="1232" t="n"/>
      <c r="X40" s="1232" t="n"/>
      <c r="Y40" s="1232" t="n"/>
      <c r="Z40" s="1232" t="n"/>
      <c r="AA40" s="1232" t="n"/>
      <c r="AB40" s="1232" t="n"/>
      <c r="AC40" s="1232" t="n"/>
      <c r="AD40" s="1232" t="n"/>
      <c r="AE40" s="1232" t="n"/>
      <c r="AF40" s="1232" t="n"/>
      <c r="AG40" s="1232" t="n"/>
      <c r="AH40" s="1232" t="n"/>
      <c r="AI40" s="1232" t="n"/>
      <c r="AJ40" s="1232" t="n"/>
      <c r="AK40" s="1232" t="n"/>
      <c r="AL40" s="1232" t="n"/>
      <c r="AM40" s="1232" t="n"/>
      <c r="AN40" s="1232" t="n"/>
      <c r="AO40" s="1232" t="n"/>
      <c r="AP40" s="1232" t="n"/>
    </row>
    <row r="43" ht="14.25" customHeight="1" s="862">
      <c r="E43" s="1289"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847222222222222"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40" zoomScaleNormal="100" zoomScalePageLayoutView="140" workbookViewId="0">
      <selection pane="topLeft" activeCell="H6" activeCellId="1" sqref="A11:S69 H6"/>
    </sheetView>
  </sheetViews>
  <sheetFormatPr baseColWidth="8" defaultColWidth="8.59765625" defaultRowHeight="14.25" customHeight="0" zeroHeight="0" outlineLevelRow="0"/>
  <cols>
    <col width="6.56" customWidth="1" style="910" min="3" max="3"/>
    <col width="17.56" customWidth="1" style="910" min="4" max="5"/>
    <col width="5.44" customWidth="1" style="910" min="6" max="6"/>
    <col width="14.78" customWidth="1" style="910" min="7" max="7"/>
    <col width="6.67" customWidth="1" style="910" min="8" max="8"/>
    <col width="6.56" customWidth="1" style="910" min="9" max="9"/>
    <col width="9.220000000000001" customWidth="1" style="910" min="10" max="10"/>
    <col width="8.33" customWidth="1" style="910" min="11" max="11"/>
  </cols>
  <sheetData>
    <row r="1" ht="45.75" customHeight="1" s="862">
      <c r="A1" s="1290" t="n"/>
      <c r="B1" s="867" t="n"/>
      <c r="C1" s="1291" t="inlineStr">
        <is>
          <t>1 of 1</t>
        </is>
      </c>
      <c r="D1" s="1292" t="inlineStr">
        <is>
          <t>Tools Backload Sheet</t>
        </is>
      </c>
      <c r="E1" s="866" t="n"/>
      <c r="F1" s="866" t="n"/>
      <c r="G1" s="866" t="n"/>
      <c r="H1" s="866" t="n"/>
      <c r="I1" s="867" t="n"/>
      <c r="J1" s="1292" t="n"/>
      <c r="K1" s="867" t="n"/>
    </row>
    <row r="2" ht="14.25" customHeight="1" s="862">
      <c r="A2" s="1291" t="inlineStr">
        <is>
          <t>DOCUMENT NUMBER</t>
        </is>
      </c>
      <c r="B2" s="867" t="n"/>
      <c r="C2" s="1291" t="inlineStr">
        <is>
          <t>CLASSIFICATION</t>
        </is>
      </c>
      <c r="D2" s="867" t="n"/>
      <c r="E2" s="1291" t="inlineStr">
        <is>
          <t>DOCUMENT LEVEL</t>
        </is>
      </c>
      <c r="F2" s="867" t="n"/>
      <c r="G2" s="1291" t="inlineStr">
        <is>
          <t>REVISION NUMBER</t>
        </is>
      </c>
      <c r="H2" s="1291" t="inlineStr">
        <is>
          <t>ISSUE DATE</t>
        </is>
      </c>
      <c r="I2" s="867" t="n"/>
      <c r="J2" s="1291" t="inlineStr">
        <is>
          <t>PREPARED BY</t>
        </is>
      </c>
      <c r="K2" s="1291" t="inlineStr">
        <is>
          <t>APPROVAL</t>
        </is>
      </c>
    </row>
    <row r="3" ht="18.75" customHeight="1" s="862">
      <c r="A3" s="1293" t="inlineStr">
        <is>
          <t>GL-COMP-OEPS-L4-15.10</t>
        </is>
      </c>
      <c r="B3" s="867" t="n"/>
      <c r="C3" s="1294" t="inlineStr">
        <is>
          <t>CONTROLLED</t>
        </is>
      </c>
      <c r="D3" s="867" t="n"/>
      <c r="E3" s="1294" t="inlineStr">
        <is>
          <t>L5</t>
        </is>
      </c>
      <c r="F3" s="867" t="n"/>
      <c r="G3" s="1294" t="n">
        <v>0</v>
      </c>
      <c r="H3" s="1294" t="inlineStr">
        <is>
          <t>6th September 2015</t>
        </is>
      </c>
      <c r="I3" s="867" t="n"/>
      <c r="J3" s="1294" t="inlineStr">
        <is>
          <t>WCT TAC</t>
        </is>
      </c>
      <c r="K3" s="1294" t="inlineStr">
        <is>
          <t>WCT TWIC</t>
        </is>
      </c>
    </row>
    <row r="5" ht="14.25" customHeight="1" s="862">
      <c r="A5" s="1295" t="inlineStr">
        <is>
          <t xml:space="preserve"> Backload From:</t>
        </is>
      </c>
      <c r="B5" s="867" t="n"/>
      <c r="C5" s="1296">
        <f>'Master Data'!E10</f>
        <v/>
      </c>
      <c r="D5" s="866" t="n"/>
      <c r="E5" s="867" t="n"/>
      <c r="F5" s="1295" t="inlineStr">
        <is>
          <t xml:space="preserve"> Job Number</t>
        </is>
      </c>
      <c r="G5" s="1295" t="n"/>
      <c r="H5" s="1296">
        <f>'Master Data'!B11</f>
        <v/>
      </c>
      <c r="I5" s="866" t="n"/>
      <c r="J5" s="866" t="n"/>
      <c r="K5" s="867" t="n"/>
    </row>
    <row r="6" ht="14.25" customHeight="1" s="862">
      <c r="A6" s="1295" t="inlineStr">
        <is>
          <t xml:space="preserve"> Backload to:</t>
        </is>
      </c>
      <c r="B6" s="867" t="n"/>
      <c r="C6" s="1297" t="inlineStr">
        <is>
          <t xml:space="preserve">Weatherford ICAD Base </t>
        </is>
      </c>
      <c r="D6" s="1298" t="n"/>
      <c r="E6" s="1299" t="n"/>
      <c r="F6" s="1295" t="inlineStr">
        <is>
          <t xml:space="preserve"> Rig/Well No.</t>
        </is>
      </c>
      <c r="G6" s="1295" t="n"/>
      <c r="H6" s="1300">
        <f>_xlfn.CONCAT('Master Data'!E11," / ", 'Master Data'!E10)</f>
        <v/>
      </c>
      <c r="I6" s="1301" t="n"/>
      <c r="J6" s="1301" t="n"/>
      <c r="K6" s="1302" t="n"/>
    </row>
    <row r="7" ht="14.25" customHeight="1" s="862">
      <c r="A7" s="1296" t="inlineStr">
        <is>
          <t>Backload Delivery</t>
        </is>
      </c>
      <c r="B7" s="866" t="n"/>
      <c r="C7" s="866" t="n"/>
      <c r="D7" s="866" t="n"/>
      <c r="E7" s="866" t="n"/>
      <c r="F7" s="866" t="n"/>
      <c r="G7" s="866" t="n"/>
      <c r="H7" s="866" t="n"/>
      <c r="I7" s="866" t="n"/>
      <c r="J7" s="866" t="n"/>
      <c r="K7" s="867" t="n"/>
    </row>
    <row r="8" ht="14.25" customHeight="1" s="862">
      <c r="A8" s="1296" t="inlineStr">
        <is>
          <t>Item</t>
        </is>
      </c>
      <c r="B8" s="1296" t="inlineStr">
        <is>
          <t>Description</t>
        </is>
      </c>
      <c r="C8" s="866" t="n"/>
      <c r="D8" s="866" t="n"/>
      <c r="E8" s="867" t="n"/>
      <c r="F8" s="1296" t="inlineStr">
        <is>
          <t>Serial Number</t>
        </is>
      </c>
      <c r="G8" s="867" t="n"/>
      <c r="H8" s="1296" t="inlineStr">
        <is>
          <t>Status</t>
        </is>
      </c>
      <c r="I8" s="866" t="n"/>
      <c r="J8" s="867" t="n"/>
      <c r="K8" s="1296" t="inlineStr">
        <is>
          <t>Quantity</t>
        </is>
      </c>
    </row>
    <row r="9" ht="14.25" customHeight="1" s="862">
      <c r="A9" s="1303" t="inlineStr">
        <is>
          <t xml:space="preserve">RENTAL ITEMS </t>
        </is>
      </c>
      <c r="B9" s="866" t="n"/>
      <c r="C9" s="866" t="n"/>
      <c r="D9" s="866" t="n"/>
      <c r="E9" s="867" t="n"/>
      <c r="F9" s="1303" t="n"/>
      <c r="G9" s="866" t="n"/>
      <c r="H9" s="866" t="n"/>
      <c r="I9" s="866" t="n"/>
      <c r="J9" s="866" t="n"/>
      <c r="K9" s="867" t="n"/>
    </row>
    <row r="10" ht="36" customHeight="1" s="862">
      <c r="A10" s="1304" t="n">
        <v>1</v>
      </c>
      <c r="B10" s="1305">
        <f>'MS2'!D11</f>
        <v/>
      </c>
      <c r="C10" s="1298" t="n"/>
      <c r="D10" s="1298" t="n"/>
      <c r="E10" s="1299" t="n"/>
      <c r="F10" s="1306">
        <f>'MS2'!F11</f>
        <v/>
      </c>
      <c r="G10" s="1299" t="n"/>
      <c r="H10" s="1306" t="n"/>
      <c r="I10" s="1298" t="n"/>
      <c r="J10" s="1299" t="n"/>
      <c r="K10" s="1306" t="inlineStr">
        <is>
          <t>1 EA</t>
        </is>
      </c>
    </row>
    <row r="11" ht="50.25" customHeight="1" s="862">
      <c r="A11" s="1304" t="n">
        <v>2</v>
      </c>
      <c r="B11" s="1305">
        <f>'MS2'!D12</f>
        <v/>
      </c>
      <c r="C11" s="1307" t="n"/>
      <c r="D11" s="1307" t="n"/>
      <c r="E11" s="1308" t="n"/>
      <c r="F11" s="1306">
        <f>'MS2'!F12</f>
        <v/>
      </c>
      <c r="G11" s="1308" t="n"/>
      <c r="H11" s="1306" t="n"/>
      <c r="I11" s="1307" t="n"/>
      <c r="J11" s="1308" t="n"/>
      <c r="K11" s="1306" t="inlineStr">
        <is>
          <t>1 EA</t>
        </is>
      </c>
    </row>
    <row r="12" ht="30" customHeight="1" s="862">
      <c r="A12" s="1309" t="n"/>
      <c r="B12" s="993" t="n"/>
      <c r="C12" s="1065" t="n"/>
      <c r="D12" s="1065" t="n"/>
      <c r="E12" s="1310" t="n"/>
      <c r="F12" s="993" t="n"/>
      <c r="G12" s="1310" t="n"/>
      <c r="H12" s="993" t="n"/>
      <c r="I12" s="1065" t="n"/>
      <c r="J12" s="1310" t="n"/>
      <c r="K12" s="1309" t="n"/>
    </row>
    <row r="13" ht="15" customHeight="1" s="862">
      <c r="A13" s="1304" t="n">
        <v>3</v>
      </c>
      <c r="B13" s="1305">
        <f>'MS2'!D13</f>
        <v/>
      </c>
      <c r="C13" s="1298" t="n"/>
      <c r="D13" s="1298" t="n"/>
      <c r="E13" s="1299" t="n"/>
      <c r="F13" s="1306">
        <f>'MS2'!F13</f>
        <v/>
      </c>
      <c r="G13" s="1299" t="n"/>
      <c r="H13" s="1306" t="n"/>
      <c r="I13" s="1298" t="n"/>
      <c r="J13" s="1299" t="n"/>
      <c r="K13" s="1306" t="inlineStr">
        <is>
          <t>1EA</t>
        </is>
      </c>
    </row>
    <row r="14" ht="26.25" customHeight="1" s="862">
      <c r="A14" s="1311" t="n"/>
      <c r="B14" s="1312" t="n"/>
      <c r="C14" s="1298" t="n"/>
      <c r="D14" s="1298" t="n"/>
      <c r="E14" s="1299" t="n"/>
      <c r="F14" s="1306" t="n"/>
      <c r="G14" s="1299" t="n"/>
      <c r="H14" s="1306" t="n"/>
      <c r="I14" s="1298" t="n"/>
      <c r="J14" s="1299" t="n"/>
      <c r="K14" s="1306" t="n"/>
      <c r="O14" s="1313" t="n"/>
    </row>
    <row r="15" ht="15" customHeight="1" s="862">
      <c r="A15" s="1306" t="n"/>
      <c r="B15" s="1314" t="n"/>
      <c r="C15" s="1298" t="n"/>
      <c r="D15" s="1298" t="n"/>
      <c r="E15" s="1299" t="n"/>
      <c r="F15" s="1306" t="n"/>
      <c r="G15" s="1299" t="n"/>
      <c r="H15" s="1306" t="n"/>
      <c r="I15" s="1298" t="n"/>
      <c r="J15" s="1299" t="n"/>
      <c r="K15" s="1315" t="n"/>
    </row>
    <row r="16" ht="15" customHeight="1" s="862">
      <c r="A16" s="1306" t="n"/>
      <c r="B16" s="1314" t="n"/>
      <c r="C16" s="1298" t="n"/>
      <c r="D16" s="1298" t="n"/>
      <c r="E16" s="1299" t="n"/>
      <c r="F16" s="1306" t="n"/>
      <c r="G16" s="1299" t="n"/>
      <c r="H16" s="1306" t="n"/>
      <c r="I16" s="1298" t="n"/>
      <c r="J16" s="1299" t="n"/>
      <c r="K16" s="1315" t="n"/>
    </row>
    <row r="17" ht="15" customHeight="1" s="862">
      <c r="A17" s="1306" t="n"/>
      <c r="B17" s="1314" t="n"/>
      <c r="C17" s="1298" t="n"/>
      <c r="D17" s="1298" t="n"/>
      <c r="E17" s="1299" t="n"/>
      <c r="F17" s="1306" t="n"/>
      <c r="G17" s="1299" t="n"/>
      <c r="H17" s="1306" t="n"/>
      <c r="I17" s="1298" t="n"/>
      <c r="J17" s="1299" t="n"/>
      <c r="K17" s="1315" t="n"/>
    </row>
    <row r="18" ht="14.25" customHeight="1" s="862">
      <c r="A18" s="1316" t="inlineStr">
        <is>
          <t>REMARKS:</t>
        </is>
      </c>
      <c r="B18" s="1298" t="n"/>
      <c r="C18" s="1298" t="n"/>
      <c r="D18" s="1298" t="n"/>
      <c r="E18" s="1298" t="n"/>
      <c r="F18" s="1298" t="n"/>
      <c r="G18" s="1298" t="n"/>
      <c r="H18" s="1298" t="n"/>
      <c r="I18" s="1298" t="n"/>
      <c r="J18" s="1298" t="n"/>
      <c r="K18" s="1299" t="n"/>
    </row>
    <row r="19" ht="14.25" customHeight="1" s="862">
      <c r="A19" s="1317" t="n"/>
      <c r="B19" s="1298" t="n"/>
      <c r="C19" s="1298" t="n"/>
      <c r="D19" s="1298" t="n"/>
      <c r="E19" s="1298" t="n"/>
      <c r="F19" s="1298" t="n"/>
      <c r="G19" s="1298" t="n"/>
      <c r="H19" s="1298" t="n"/>
      <c r="I19" s="1298" t="n"/>
      <c r="J19" s="1298" t="n"/>
      <c r="K19" s="1299" t="n"/>
    </row>
    <row r="20" ht="14.25" customHeight="1" s="862">
      <c r="A20" s="1317" t="n"/>
      <c r="B20" s="1298" t="n"/>
      <c r="C20" s="1298" t="n"/>
      <c r="D20" s="1298" t="n"/>
      <c r="E20" s="1298" t="n"/>
      <c r="F20" s="1298" t="n"/>
      <c r="G20" s="1298" t="n"/>
      <c r="H20" s="1298" t="n"/>
      <c r="I20" s="1298" t="n"/>
      <c r="J20" s="1298" t="n"/>
      <c r="K20" s="1299" t="n"/>
    </row>
    <row r="21" ht="14.25" customHeight="1" s="862">
      <c r="A21" s="1318" t="n"/>
      <c r="B21" s="1298" t="n"/>
      <c r="C21" s="1298" t="n"/>
      <c r="D21" s="1298" t="n"/>
      <c r="E21" s="1298" t="n"/>
      <c r="F21" s="1298" t="n"/>
      <c r="G21" s="1298" t="n"/>
      <c r="H21" s="1298" t="n"/>
      <c r="I21" s="1298" t="n"/>
      <c r="J21" s="1298" t="n"/>
      <c r="K21" s="1299" t="n"/>
    </row>
    <row r="22" ht="14.25" customHeight="1" s="862">
      <c r="A22" s="1319" t="inlineStr">
        <is>
          <t>WFT Engineer:</t>
        </is>
      </c>
      <c r="B22" s="866" t="n"/>
      <c r="C22" s="867" t="n"/>
      <c r="D22" s="1320">
        <f>'Master Data'!B21</f>
        <v/>
      </c>
      <c r="E22" s="866" t="n"/>
      <c r="F22" s="866" t="n"/>
      <c r="G22" s="867" t="n"/>
      <c r="H22" s="1321" t="inlineStr">
        <is>
          <t>Date :</t>
        </is>
      </c>
      <c r="I22" s="1322">
        <f>'Master Data'!E24</f>
        <v/>
      </c>
      <c r="J22" s="1298" t="n"/>
      <c r="K22" s="1299" t="n"/>
    </row>
    <row r="23" ht="14.25" customHeight="1" s="862">
      <c r="A23" s="1319" t="inlineStr">
        <is>
          <t>Company Representative:</t>
        </is>
      </c>
      <c r="B23" s="866" t="n"/>
      <c r="C23" s="867" t="n"/>
      <c r="D23" s="1320" t="n"/>
      <c r="E23" s="866" t="n"/>
      <c r="F23" s="866" t="n"/>
      <c r="G23" s="867" t="n"/>
      <c r="H23" s="1321" t="inlineStr">
        <is>
          <t>Date :</t>
        </is>
      </c>
      <c r="I23" s="1322">
        <f>'Master Data'!E24</f>
        <v/>
      </c>
      <c r="J23" s="1298" t="n"/>
      <c r="K23" s="1299" t="n"/>
    </row>
    <row r="24" ht="14.25" customHeight="1" s="862">
      <c r="A24" s="1319" t="inlineStr">
        <is>
          <t>Delivery Method:</t>
        </is>
      </c>
      <c r="B24" s="866" t="n"/>
      <c r="C24" s="867" t="n"/>
      <c r="D24" s="1320" t="inlineStr">
        <is>
          <t> </t>
        </is>
      </c>
      <c r="E24" s="866" t="n"/>
      <c r="F24" s="866" t="n"/>
      <c r="G24" s="867" t="n"/>
      <c r="H24" s="1321" t="inlineStr">
        <is>
          <t>Date :</t>
        </is>
      </c>
      <c r="I24" s="1323" t="n"/>
      <c r="J24" s="866" t="n"/>
      <c r="K24" s="867" t="n"/>
    </row>
    <row r="25" ht="14.25" customHeight="1" s="862">
      <c r="A25" s="1324" t="n"/>
      <c r="B25" s="866" t="n"/>
      <c r="C25" s="867" t="n"/>
      <c r="D25" s="1320" t="n"/>
      <c r="E25" s="866" t="n"/>
      <c r="F25" s="866" t="n"/>
      <c r="G25" s="867" t="n"/>
      <c r="H25" s="1321" t="inlineStr">
        <is>
          <t>Date :</t>
        </is>
      </c>
      <c r="I25" s="1323" t="n"/>
      <c r="J25" s="866" t="n"/>
      <c r="K25" s="867" t="n"/>
    </row>
    <row r="26" ht="12" customHeight="1" s="862">
      <c r="A26" s="1325" t="n"/>
    </row>
    <row r="27" ht="14.25" customHeight="1" s="862">
      <c r="A27" s="1326" t="inlineStr">
        <is>
          <t>© ©2015 WEATHERFORD ALL RIGHTS RESERVED PROPRIETARY AND CONFIDENTIAL.</t>
        </is>
      </c>
    </row>
    <row r="28" ht="42.75" customHeight="1" s="862">
      <c r="A28" s="1327"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5" bottom="0.75" header="0.511811023622047"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40" zoomScaleNormal="72" zoomScalePageLayoutView="140" workbookViewId="0">
      <selection pane="topLeft" activeCell="I24" activeCellId="0" sqref="A11:S69"/>
    </sheetView>
  </sheetViews>
  <sheetFormatPr baseColWidth="8" defaultColWidth="8.890625" defaultRowHeight="12.75" customHeight="0" zeroHeight="0" outlineLevelRow="0"/>
  <cols>
    <col width="4.89" customWidth="1" style="1328" min="1" max="1"/>
    <col width="8.890000000000001" customWidth="1" style="1329" min="2" max="2"/>
    <col width="8.890000000000001" customWidth="1" style="1328" min="3" max="3"/>
    <col width="13.89" customWidth="1" style="1328" min="4" max="4"/>
    <col width="8.890000000000001" customWidth="1" style="1328" min="5" max="5"/>
    <col width="13.44" customWidth="1" style="1328" min="6" max="6"/>
    <col width="8.890000000000001" customWidth="1" style="1328" min="7" max="8"/>
    <col width="14" customWidth="1" style="1328" min="9" max="9"/>
    <col width="16.45" customWidth="1" style="1328" min="10" max="10"/>
    <col width="10.11" customWidth="1" style="1328" min="11" max="11"/>
    <col width="12.11" customWidth="1" style="1328" min="12" max="12"/>
    <col width="16.55" customWidth="1" style="1328" min="13" max="14"/>
    <col width="8.890000000000001" customWidth="1" style="1328" min="15" max="259"/>
    <col width="13.89" customWidth="1" style="1328" min="260" max="260"/>
    <col width="8.890000000000001" customWidth="1" style="1328" min="261" max="261"/>
    <col width="13.44" customWidth="1" style="1328" min="262" max="262"/>
    <col width="8.890000000000001" customWidth="1" style="1328" min="263" max="264"/>
    <col width="12.55" customWidth="1" style="1328" min="265" max="265"/>
    <col width="16.45" customWidth="1" style="1328" min="266" max="266"/>
    <col width="10.11" customWidth="1" style="1328" min="267" max="267"/>
    <col width="9.109999999999999" customWidth="1" style="1328" min="268" max="268"/>
    <col width="11.55" customWidth="1" style="1328" min="269" max="269"/>
    <col width="8.890000000000001" customWidth="1" style="1328" min="270" max="515"/>
    <col width="13.89" customWidth="1" style="1328" min="516" max="516"/>
    <col width="8.890000000000001" customWidth="1" style="1328" min="517" max="517"/>
    <col width="13.44" customWidth="1" style="1328" min="518" max="518"/>
    <col width="8.890000000000001" customWidth="1" style="1328" min="519" max="520"/>
    <col width="12.55" customWidth="1" style="1328" min="521" max="521"/>
    <col width="16.45" customWidth="1" style="1328" min="522" max="522"/>
    <col width="10.11" customWidth="1" style="1328" min="523" max="523"/>
    <col width="9.109999999999999" customWidth="1" style="1328" min="524" max="524"/>
    <col width="11.55" customWidth="1" style="1328" min="525" max="525"/>
    <col width="8.890000000000001" customWidth="1" style="1328" min="526" max="771"/>
    <col width="13.89" customWidth="1" style="1328" min="772" max="772"/>
    <col width="8.890000000000001" customWidth="1" style="1328" min="773" max="773"/>
    <col width="13.44" customWidth="1" style="1328" min="774" max="774"/>
    <col width="8.890000000000001" customWidth="1" style="1328" min="775" max="776"/>
    <col width="12.55" customWidth="1" style="1328" min="777" max="777"/>
    <col width="16.45" customWidth="1" style="1328" min="778" max="778"/>
    <col width="10.11" customWidth="1" style="1328" min="779" max="779"/>
    <col width="9.109999999999999" customWidth="1" style="1328" min="780" max="780"/>
    <col width="11.55" customWidth="1" style="1328" min="781" max="781"/>
    <col width="8.890000000000001" customWidth="1" style="1328" min="782" max="1027"/>
    <col width="13.89" customWidth="1" style="1328" min="1028" max="1028"/>
    <col width="8.890000000000001" customWidth="1" style="1328" min="1029" max="1029"/>
    <col width="13.44" customWidth="1" style="1328" min="1030" max="1030"/>
    <col width="8.890000000000001" customWidth="1" style="1328" min="1031" max="1032"/>
    <col width="12.55" customWidth="1" style="1328" min="1033" max="1033"/>
    <col width="16.45" customWidth="1" style="1328" min="1034" max="1034"/>
    <col width="10.11" customWidth="1" style="1328" min="1035" max="1035"/>
    <col width="9.109999999999999" customWidth="1" style="1328" min="1036" max="1036"/>
    <col width="11.55" customWidth="1" style="1328" min="1037" max="1037"/>
    <col width="8.890000000000001" customWidth="1" style="1328" min="1038" max="1283"/>
    <col width="13.89" customWidth="1" style="1328" min="1284" max="1284"/>
    <col width="8.890000000000001" customWidth="1" style="1328" min="1285" max="1285"/>
    <col width="13.44" customWidth="1" style="1328" min="1286" max="1286"/>
    <col width="8.890000000000001" customWidth="1" style="1328" min="1287" max="1288"/>
    <col width="12.55" customWidth="1" style="1328" min="1289" max="1289"/>
    <col width="16.45" customWidth="1" style="1328" min="1290" max="1290"/>
    <col width="10.11" customWidth="1" style="1328" min="1291" max="1291"/>
    <col width="9.109999999999999" customWidth="1" style="1328" min="1292" max="1292"/>
    <col width="11.55" customWidth="1" style="1328" min="1293" max="1293"/>
    <col width="8.890000000000001" customWidth="1" style="1328" min="1294" max="1539"/>
    <col width="13.89" customWidth="1" style="1328" min="1540" max="1540"/>
    <col width="8.890000000000001" customWidth="1" style="1328" min="1541" max="1541"/>
    <col width="13.44" customWidth="1" style="1328" min="1542" max="1542"/>
    <col width="8.890000000000001" customWidth="1" style="1328" min="1543" max="1544"/>
    <col width="12.55" customWidth="1" style="1328" min="1545" max="1545"/>
    <col width="16.45" customWidth="1" style="1328" min="1546" max="1546"/>
    <col width="10.11" customWidth="1" style="1328" min="1547" max="1547"/>
    <col width="9.109999999999999" customWidth="1" style="1328" min="1548" max="1548"/>
    <col width="11.55" customWidth="1" style="1328" min="1549" max="1549"/>
    <col width="8.890000000000001" customWidth="1" style="1328" min="1550" max="1795"/>
    <col width="13.89" customWidth="1" style="1328" min="1796" max="1796"/>
    <col width="8.890000000000001" customWidth="1" style="1328" min="1797" max="1797"/>
    <col width="13.44" customWidth="1" style="1328" min="1798" max="1798"/>
    <col width="8.890000000000001" customWidth="1" style="1328" min="1799" max="1800"/>
    <col width="12.55" customWidth="1" style="1328" min="1801" max="1801"/>
    <col width="16.45" customWidth="1" style="1328" min="1802" max="1802"/>
    <col width="10.11" customWidth="1" style="1328" min="1803" max="1803"/>
    <col width="9.109999999999999" customWidth="1" style="1328" min="1804" max="1804"/>
    <col width="11.55" customWidth="1" style="1328" min="1805" max="1805"/>
    <col width="8.890000000000001" customWidth="1" style="1328" min="1806" max="2051"/>
    <col width="13.89" customWidth="1" style="1328" min="2052" max="2052"/>
    <col width="8.890000000000001" customWidth="1" style="1328" min="2053" max="2053"/>
    <col width="13.44" customWidth="1" style="1328" min="2054" max="2054"/>
    <col width="8.890000000000001" customWidth="1" style="1328" min="2055" max="2056"/>
    <col width="12.55" customWidth="1" style="1328" min="2057" max="2057"/>
    <col width="16.45" customWidth="1" style="1328" min="2058" max="2058"/>
    <col width="10.11" customWidth="1" style="1328" min="2059" max="2059"/>
    <col width="9.109999999999999" customWidth="1" style="1328" min="2060" max="2060"/>
    <col width="11.55" customWidth="1" style="1328" min="2061" max="2061"/>
    <col width="8.890000000000001" customWidth="1" style="1328" min="2062" max="2307"/>
    <col width="13.89" customWidth="1" style="1328" min="2308" max="2308"/>
    <col width="8.890000000000001" customWidth="1" style="1328" min="2309" max="2309"/>
    <col width="13.44" customWidth="1" style="1328" min="2310" max="2310"/>
    <col width="8.890000000000001" customWidth="1" style="1328" min="2311" max="2312"/>
    <col width="12.55" customWidth="1" style="1328" min="2313" max="2313"/>
    <col width="16.45" customWidth="1" style="1328" min="2314" max="2314"/>
    <col width="10.11" customWidth="1" style="1328" min="2315" max="2315"/>
    <col width="9.109999999999999" customWidth="1" style="1328" min="2316" max="2316"/>
    <col width="11.55" customWidth="1" style="1328" min="2317" max="2317"/>
    <col width="8.890000000000001" customWidth="1" style="1328" min="2318" max="2563"/>
    <col width="13.89" customWidth="1" style="1328" min="2564" max="2564"/>
    <col width="8.890000000000001" customWidth="1" style="1328" min="2565" max="2565"/>
    <col width="13.44" customWidth="1" style="1328" min="2566" max="2566"/>
    <col width="8.890000000000001" customWidth="1" style="1328" min="2567" max="2568"/>
    <col width="12.55" customWidth="1" style="1328" min="2569" max="2569"/>
    <col width="16.45" customWidth="1" style="1328" min="2570" max="2570"/>
    <col width="10.11" customWidth="1" style="1328" min="2571" max="2571"/>
    <col width="9.109999999999999" customWidth="1" style="1328" min="2572" max="2572"/>
    <col width="11.55" customWidth="1" style="1328" min="2573" max="2573"/>
    <col width="8.890000000000001" customWidth="1" style="1328" min="2574" max="2819"/>
    <col width="13.89" customWidth="1" style="1328" min="2820" max="2820"/>
    <col width="8.890000000000001" customWidth="1" style="1328" min="2821" max="2821"/>
    <col width="13.44" customWidth="1" style="1328" min="2822" max="2822"/>
    <col width="8.890000000000001" customWidth="1" style="1328" min="2823" max="2824"/>
    <col width="12.55" customWidth="1" style="1328" min="2825" max="2825"/>
    <col width="16.45" customWidth="1" style="1328" min="2826" max="2826"/>
    <col width="10.11" customWidth="1" style="1328" min="2827" max="2827"/>
    <col width="9.109999999999999" customWidth="1" style="1328" min="2828" max="2828"/>
    <col width="11.55" customWidth="1" style="1328" min="2829" max="2829"/>
    <col width="8.890000000000001" customWidth="1" style="1328" min="2830" max="3075"/>
    <col width="13.89" customWidth="1" style="1328" min="3076" max="3076"/>
    <col width="8.890000000000001" customWidth="1" style="1328" min="3077" max="3077"/>
    <col width="13.44" customWidth="1" style="1328" min="3078" max="3078"/>
    <col width="8.890000000000001" customWidth="1" style="1328" min="3079" max="3080"/>
    <col width="12.55" customWidth="1" style="1328" min="3081" max="3081"/>
    <col width="16.45" customWidth="1" style="1328" min="3082" max="3082"/>
    <col width="10.11" customWidth="1" style="1328" min="3083" max="3083"/>
    <col width="9.109999999999999" customWidth="1" style="1328" min="3084" max="3084"/>
    <col width="11.55" customWidth="1" style="1328" min="3085" max="3085"/>
    <col width="8.890000000000001" customWidth="1" style="1328" min="3086" max="3331"/>
    <col width="13.89" customWidth="1" style="1328" min="3332" max="3332"/>
    <col width="8.890000000000001" customWidth="1" style="1328" min="3333" max="3333"/>
    <col width="13.44" customWidth="1" style="1328" min="3334" max="3334"/>
    <col width="8.890000000000001" customWidth="1" style="1328" min="3335" max="3336"/>
    <col width="12.55" customWidth="1" style="1328" min="3337" max="3337"/>
    <col width="16.45" customWidth="1" style="1328" min="3338" max="3338"/>
    <col width="10.11" customWidth="1" style="1328" min="3339" max="3339"/>
    <col width="9.109999999999999" customWidth="1" style="1328" min="3340" max="3340"/>
    <col width="11.55" customWidth="1" style="1328" min="3341" max="3341"/>
    <col width="8.890000000000001" customWidth="1" style="1328" min="3342" max="3587"/>
    <col width="13.89" customWidth="1" style="1328" min="3588" max="3588"/>
    <col width="8.890000000000001" customWidth="1" style="1328" min="3589" max="3589"/>
    <col width="13.44" customWidth="1" style="1328" min="3590" max="3590"/>
    <col width="8.890000000000001" customWidth="1" style="1328" min="3591" max="3592"/>
    <col width="12.55" customWidth="1" style="1328" min="3593" max="3593"/>
    <col width="16.45" customWidth="1" style="1328" min="3594" max="3594"/>
    <col width="10.11" customWidth="1" style="1328" min="3595" max="3595"/>
    <col width="9.109999999999999" customWidth="1" style="1328" min="3596" max="3596"/>
    <col width="11.55" customWidth="1" style="1328" min="3597" max="3597"/>
    <col width="8.890000000000001" customWidth="1" style="1328" min="3598" max="3843"/>
    <col width="13.89" customWidth="1" style="1328" min="3844" max="3844"/>
    <col width="8.890000000000001" customWidth="1" style="1328" min="3845" max="3845"/>
    <col width="13.44" customWidth="1" style="1328" min="3846" max="3846"/>
    <col width="8.890000000000001" customWidth="1" style="1328" min="3847" max="3848"/>
    <col width="12.55" customWidth="1" style="1328" min="3849" max="3849"/>
    <col width="16.45" customWidth="1" style="1328" min="3850" max="3850"/>
    <col width="10.11" customWidth="1" style="1328" min="3851" max="3851"/>
    <col width="9.109999999999999" customWidth="1" style="1328" min="3852" max="3852"/>
    <col width="11.55" customWidth="1" style="1328" min="3853" max="3853"/>
    <col width="8.890000000000001" customWidth="1" style="1328" min="3854" max="4099"/>
    <col width="13.89" customWidth="1" style="1328" min="4100" max="4100"/>
    <col width="8.890000000000001" customWidth="1" style="1328" min="4101" max="4101"/>
    <col width="13.44" customWidth="1" style="1328" min="4102" max="4102"/>
    <col width="8.890000000000001" customWidth="1" style="1328" min="4103" max="4104"/>
    <col width="12.55" customWidth="1" style="1328" min="4105" max="4105"/>
    <col width="16.45" customWidth="1" style="1328" min="4106" max="4106"/>
    <col width="10.11" customWidth="1" style="1328" min="4107" max="4107"/>
    <col width="9.109999999999999" customWidth="1" style="1328" min="4108" max="4108"/>
    <col width="11.55" customWidth="1" style="1328" min="4109" max="4109"/>
    <col width="8.890000000000001" customWidth="1" style="1328" min="4110" max="4355"/>
    <col width="13.89" customWidth="1" style="1328" min="4356" max="4356"/>
    <col width="8.890000000000001" customWidth="1" style="1328" min="4357" max="4357"/>
    <col width="13.44" customWidth="1" style="1328" min="4358" max="4358"/>
    <col width="8.890000000000001" customWidth="1" style="1328" min="4359" max="4360"/>
    <col width="12.55" customWidth="1" style="1328" min="4361" max="4361"/>
    <col width="16.45" customWidth="1" style="1328" min="4362" max="4362"/>
    <col width="10.11" customWidth="1" style="1328" min="4363" max="4363"/>
    <col width="9.109999999999999" customWidth="1" style="1328" min="4364" max="4364"/>
    <col width="11.55" customWidth="1" style="1328" min="4365" max="4365"/>
    <col width="8.890000000000001" customWidth="1" style="1328" min="4366" max="4611"/>
    <col width="13.89" customWidth="1" style="1328" min="4612" max="4612"/>
    <col width="8.890000000000001" customWidth="1" style="1328" min="4613" max="4613"/>
    <col width="13.44" customWidth="1" style="1328" min="4614" max="4614"/>
    <col width="8.890000000000001" customWidth="1" style="1328" min="4615" max="4616"/>
    <col width="12.55" customWidth="1" style="1328" min="4617" max="4617"/>
    <col width="16.45" customWidth="1" style="1328" min="4618" max="4618"/>
    <col width="10.11" customWidth="1" style="1328" min="4619" max="4619"/>
    <col width="9.109999999999999" customWidth="1" style="1328" min="4620" max="4620"/>
    <col width="11.55" customWidth="1" style="1328" min="4621" max="4621"/>
    <col width="8.890000000000001" customWidth="1" style="1328" min="4622" max="4867"/>
    <col width="13.89" customWidth="1" style="1328" min="4868" max="4868"/>
    <col width="8.890000000000001" customWidth="1" style="1328" min="4869" max="4869"/>
    <col width="13.44" customWidth="1" style="1328" min="4870" max="4870"/>
    <col width="8.890000000000001" customWidth="1" style="1328" min="4871" max="4872"/>
    <col width="12.55" customWidth="1" style="1328" min="4873" max="4873"/>
    <col width="16.45" customWidth="1" style="1328" min="4874" max="4874"/>
    <col width="10.11" customWidth="1" style="1328" min="4875" max="4875"/>
    <col width="9.109999999999999" customWidth="1" style="1328" min="4876" max="4876"/>
    <col width="11.55" customWidth="1" style="1328" min="4877" max="4877"/>
    <col width="8.890000000000001" customWidth="1" style="1328" min="4878" max="5123"/>
    <col width="13.89" customWidth="1" style="1328" min="5124" max="5124"/>
    <col width="8.890000000000001" customWidth="1" style="1328" min="5125" max="5125"/>
    <col width="13.44" customWidth="1" style="1328" min="5126" max="5126"/>
    <col width="8.890000000000001" customWidth="1" style="1328" min="5127" max="5128"/>
    <col width="12.55" customWidth="1" style="1328" min="5129" max="5129"/>
    <col width="16.45" customWidth="1" style="1328" min="5130" max="5130"/>
    <col width="10.11" customWidth="1" style="1328" min="5131" max="5131"/>
    <col width="9.109999999999999" customWidth="1" style="1328" min="5132" max="5132"/>
    <col width="11.55" customWidth="1" style="1328" min="5133" max="5133"/>
    <col width="8.890000000000001" customWidth="1" style="1328" min="5134" max="5379"/>
    <col width="13.89" customWidth="1" style="1328" min="5380" max="5380"/>
    <col width="8.890000000000001" customWidth="1" style="1328" min="5381" max="5381"/>
    <col width="13.44" customWidth="1" style="1328" min="5382" max="5382"/>
    <col width="8.890000000000001" customWidth="1" style="1328" min="5383" max="5384"/>
    <col width="12.55" customWidth="1" style="1328" min="5385" max="5385"/>
    <col width="16.45" customWidth="1" style="1328" min="5386" max="5386"/>
    <col width="10.11" customWidth="1" style="1328" min="5387" max="5387"/>
    <col width="9.109999999999999" customWidth="1" style="1328" min="5388" max="5388"/>
    <col width="11.55" customWidth="1" style="1328" min="5389" max="5389"/>
    <col width="8.890000000000001" customWidth="1" style="1328" min="5390" max="5635"/>
    <col width="13.89" customWidth="1" style="1328" min="5636" max="5636"/>
    <col width="8.890000000000001" customWidth="1" style="1328" min="5637" max="5637"/>
    <col width="13.44" customWidth="1" style="1328" min="5638" max="5638"/>
    <col width="8.890000000000001" customWidth="1" style="1328" min="5639" max="5640"/>
    <col width="12.55" customWidth="1" style="1328" min="5641" max="5641"/>
    <col width="16.45" customWidth="1" style="1328" min="5642" max="5642"/>
    <col width="10.11" customWidth="1" style="1328" min="5643" max="5643"/>
    <col width="9.109999999999999" customWidth="1" style="1328" min="5644" max="5644"/>
    <col width="11.55" customWidth="1" style="1328" min="5645" max="5645"/>
    <col width="8.890000000000001" customWidth="1" style="1328" min="5646" max="5891"/>
    <col width="13.89" customWidth="1" style="1328" min="5892" max="5892"/>
    <col width="8.890000000000001" customWidth="1" style="1328" min="5893" max="5893"/>
    <col width="13.44" customWidth="1" style="1328" min="5894" max="5894"/>
    <col width="8.890000000000001" customWidth="1" style="1328" min="5895" max="5896"/>
    <col width="12.55" customWidth="1" style="1328" min="5897" max="5897"/>
    <col width="16.45" customWidth="1" style="1328" min="5898" max="5898"/>
    <col width="10.11" customWidth="1" style="1328" min="5899" max="5899"/>
    <col width="9.109999999999999" customWidth="1" style="1328" min="5900" max="5900"/>
    <col width="11.55" customWidth="1" style="1328" min="5901" max="5901"/>
    <col width="8.890000000000001" customWidth="1" style="1328" min="5902" max="6147"/>
    <col width="13.89" customWidth="1" style="1328" min="6148" max="6148"/>
    <col width="8.890000000000001" customWidth="1" style="1328" min="6149" max="6149"/>
    <col width="13.44" customWidth="1" style="1328" min="6150" max="6150"/>
    <col width="8.890000000000001" customWidth="1" style="1328" min="6151" max="6152"/>
    <col width="12.55" customWidth="1" style="1328" min="6153" max="6153"/>
    <col width="16.45" customWidth="1" style="1328" min="6154" max="6154"/>
    <col width="10.11" customWidth="1" style="1328" min="6155" max="6155"/>
    <col width="9.109999999999999" customWidth="1" style="1328" min="6156" max="6156"/>
    <col width="11.55" customWidth="1" style="1328" min="6157" max="6157"/>
    <col width="8.890000000000001" customWidth="1" style="1328" min="6158" max="6403"/>
    <col width="13.89" customWidth="1" style="1328" min="6404" max="6404"/>
    <col width="8.890000000000001" customWidth="1" style="1328" min="6405" max="6405"/>
    <col width="13.44" customWidth="1" style="1328" min="6406" max="6406"/>
    <col width="8.890000000000001" customWidth="1" style="1328" min="6407" max="6408"/>
    <col width="12.55" customWidth="1" style="1328" min="6409" max="6409"/>
    <col width="16.45" customWidth="1" style="1328" min="6410" max="6410"/>
    <col width="10.11" customWidth="1" style="1328" min="6411" max="6411"/>
    <col width="9.109999999999999" customWidth="1" style="1328" min="6412" max="6412"/>
    <col width="11.55" customWidth="1" style="1328" min="6413" max="6413"/>
    <col width="8.890000000000001" customWidth="1" style="1328" min="6414" max="6659"/>
    <col width="13.89" customWidth="1" style="1328" min="6660" max="6660"/>
    <col width="8.890000000000001" customWidth="1" style="1328" min="6661" max="6661"/>
    <col width="13.44" customWidth="1" style="1328" min="6662" max="6662"/>
    <col width="8.890000000000001" customWidth="1" style="1328" min="6663" max="6664"/>
    <col width="12.55" customWidth="1" style="1328" min="6665" max="6665"/>
    <col width="16.45" customWidth="1" style="1328" min="6666" max="6666"/>
    <col width="10.11" customWidth="1" style="1328" min="6667" max="6667"/>
    <col width="9.109999999999999" customWidth="1" style="1328" min="6668" max="6668"/>
    <col width="11.55" customWidth="1" style="1328" min="6669" max="6669"/>
    <col width="8.890000000000001" customWidth="1" style="1328" min="6670" max="6915"/>
    <col width="13.89" customWidth="1" style="1328" min="6916" max="6916"/>
    <col width="8.890000000000001" customWidth="1" style="1328" min="6917" max="6917"/>
    <col width="13.44" customWidth="1" style="1328" min="6918" max="6918"/>
    <col width="8.890000000000001" customWidth="1" style="1328" min="6919" max="6920"/>
    <col width="12.55" customWidth="1" style="1328" min="6921" max="6921"/>
    <col width="16.45" customWidth="1" style="1328" min="6922" max="6922"/>
    <col width="10.11" customWidth="1" style="1328" min="6923" max="6923"/>
    <col width="9.109999999999999" customWidth="1" style="1328" min="6924" max="6924"/>
    <col width="11.55" customWidth="1" style="1328" min="6925" max="6925"/>
    <col width="8.890000000000001" customWidth="1" style="1328" min="6926" max="7171"/>
    <col width="13.89" customWidth="1" style="1328" min="7172" max="7172"/>
    <col width="8.890000000000001" customWidth="1" style="1328" min="7173" max="7173"/>
    <col width="13.44" customWidth="1" style="1328" min="7174" max="7174"/>
    <col width="8.890000000000001" customWidth="1" style="1328" min="7175" max="7176"/>
    <col width="12.55" customWidth="1" style="1328" min="7177" max="7177"/>
    <col width="16.45" customWidth="1" style="1328" min="7178" max="7178"/>
    <col width="10.11" customWidth="1" style="1328" min="7179" max="7179"/>
    <col width="9.109999999999999" customWidth="1" style="1328" min="7180" max="7180"/>
    <col width="11.55" customWidth="1" style="1328" min="7181" max="7181"/>
    <col width="8.890000000000001" customWidth="1" style="1328" min="7182" max="7427"/>
    <col width="13.89" customWidth="1" style="1328" min="7428" max="7428"/>
    <col width="8.890000000000001" customWidth="1" style="1328" min="7429" max="7429"/>
    <col width="13.44" customWidth="1" style="1328" min="7430" max="7430"/>
    <col width="8.890000000000001" customWidth="1" style="1328" min="7431" max="7432"/>
    <col width="12.55" customWidth="1" style="1328" min="7433" max="7433"/>
    <col width="16.45" customWidth="1" style="1328" min="7434" max="7434"/>
    <col width="10.11" customWidth="1" style="1328" min="7435" max="7435"/>
    <col width="9.109999999999999" customWidth="1" style="1328" min="7436" max="7436"/>
    <col width="11.55" customWidth="1" style="1328" min="7437" max="7437"/>
    <col width="8.890000000000001" customWidth="1" style="1328" min="7438" max="7683"/>
    <col width="13.89" customWidth="1" style="1328" min="7684" max="7684"/>
    <col width="8.890000000000001" customWidth="1" style="1328" min="7685" max="7685"/>
    <col width="13.44" customWidth="1" style="1328" min="7686" max="7686"/>
    <col width="8.890000000000001" customWidth="1" style="1328" min="7687" max="7688"/>
    <col width="12.55" customWidth="1" style="1328" min="7689" max="7689"/>
    <col width="16.45" customWidth="1" style="1328" min="7690" max="7690"/>
    <col width="10.11" customWidth="1" style="1328" min="7691" max="7691"/>
    <col width="9.109999999999999" customWidth="1" style="1328" min="7692" max="7692"/>
    <col width="11.55" customWidth="1" style="1328" min="7693" max="7693"/>
    <col width="8.890000000000001" customWidth="1" style="1328" min="7694" max="7939"/>
    <col width="13.89" customWidth="1" style="1328" min="7940" max="7940"/>
    <col width="8.890000000000001" customWidth="1" style="1328" min="7941" max="7941"/>
    <col width="13.44" customWidth="1" style="1328" min="7942" max="7942"/>
    <col width="8.890000000000001" customWidth="1" style="1328" min="7943" max="7944"/>
    <col width="12.55" customWidth="1" style="1328" min="7945" max="7945"/>
    <col width="16.45" customWidth="1" style="1328" min="7946" max="7946"/>
    <col width="10.11" customWidth="1" style="1328" min="7947" max="7947"/>
    <col width="9.109999999999999" customWidth="1" style="1328" min="7948" max="7948"/>
    <col width="11.55" customWidth="1" style="1328" min="7949" max="7949"/>
    <col width="8.890000000000001" customWidth="1" style="1328" min="7950" max="8195"/>
    <col width="13.89" customWidth="1" style="1328" min="8196" max="8196"/>
    <col width="8.890000000000001" customWidth="1" style="1328" min="8197" max="8197"/>
    <col width="13.44" customWidth="1" style="1328" min="8198" max="8198"/>
    <col width="8.890000000000001" customWidth="1" style="1328" min="8199" max="8200"/>
    <col width="12.55" customWidth="1" style="1328" min="8201" max="8201"/>
    <col width="16.45" customWidth="1" style="1328" min="8202" max="8202"/>
    <col width="10.11" customWidth="1" style="1328" min="8203" max="8203"/>
    <col width="9.109999999999999" customWidth="1" style="1328" min="8204" max="8204"/>
    <col width="11.55" customWidth="1" style="1328" min="8205" max="8205"/>
    <col width="8.890000000000001" customWidth="1" style="1328" min="8206" max="8451"/>
    <col width="13.89" customWidth="1" style="1328" min="8452" max="8452"/>
    <col width="8.890000000000001" customWidth="1" style="1328" min="8453" max="8453"/>
    <col width="13.44" customWidth="1" style="1328" min="8454" max="8454"/>
    <col width="8.890000000000001" customWidth="1" style="1328" min="8455" max="8456"/>
    <col width="12.55" customWidth="1" style="1328" min="8457" max="8457"/>
    <col width="16.45" customWidth="1" style="1328" min="8458" max="8458"/>
    <col width="10.11" customWidth="1" style="1328" min="8459" max="8459"/>
    <col width="9.109999999999999" customWidth="1" style="1328" min="8460" max="8460"/>
    <col width="11.55" customWidth="1" style="1328" min="8461" max="8461"/>
    <col width="8.890000000000001" customWidth="1" style="1328" min="8462" max="8707"/>
    <col width="13.89" customWidth="1" style="1328" min="8708" max="8708"/>
    <col width="8.890000000000001" customWidth="1" style="1328" min="8709" max="8709"/>
    <col width="13.44" customWidth="1" style="1328" min="8710" max="8710"/>
    <col width="8.890000000000001" customWidth="1" style="1328" min="8711" max="8712"/>
    <col width="12.55" customWidth="1" style="1328" min="8713" max="8713"/>
    <col width="16.45" customWidth="1" style="1328" min="8714" max="8714"/>
    <col width="10.11" customWidth="1" style="1328" min="8715" max="8715"/>
    <col width="9.109999999999999" customWidth="1" style="1328" min="8716" max="8716"/>
    <col width="11.55" customWidth="1" style="1328" min="8717" max="8717"/>
    <col width="8.890000000000001" customWidth="1" style="1328" min="8718" max="8963"/>
    <col width="13.89" customWidth="1" style="1328" min="8964" max="8964"/>
    <col width="8.890000000000001" customWidth="1" style="1328" min="8965" max="8965"/>
    <col width="13.44" customWidth="1" style="1328" min="8966" max="8966"/>
    <col width="8.890000000000001" customWidth="1" style="1328" min="8967" max="8968"/>
    <col width="12.55" customWidth="1" style="1328" min="8969" max="8969"/>
    <col width="16.45" customWidth="1" style="1328" min="8970" max="8970"/>
    <col width="10.11" customWidth="1" style="1328" min="8971" max="8971"/>
    <col width="9.109999999999999" customWidth="1" style="1328" min="8972" max="8972"/>
    <col width="11.55" customWidth="1" style="1328" min="8973" max="8973"/>
    <col width="8.890000000000001" customWidth="1" style="1328" min="8974" max="9219"/>
    <col width="13.89" customWidth="1" style="1328" min="9220" max="9220"/>
    <col width="8.890000000000001" customWidth="1" style="1328" min="9221" max="9221"/>
    <col width="13.44" customWidth="1" style="1328" min="9222" max="9222"/>
    <col width="8.890000000000001" customWidth="1" style="1328" min="9223" max="9224"/>
    <col width="12.55" customWidth="1" style="1328" min="9225" max="9225"/>
    <col width="16.45" customWidth="1" style="1328" min="9226" max="9226"/>
    <col width="10.11" customWidth="1" style="1328" min="9227" max="9227"/>
    <col width="9.109999999999999" customWidth="1" style="1328" min="9228" max="9228"/>
    <col width="11.55" customWidth="1" style="1328" min="9229" max="9229"/>
    <col width="8.890000000000001" customWidth="1" style="1328" min="9230" max="9475"/>
    <col width="13.89" customWidth="1" style="1328" min="9476" max="9476"/>
    <col width="8.890000000000001" customWidth="1" style="1328" min="9477" max="9477"/>
    <col width="13.44" customWidth="1" style="1328" min="9478" max="9478"/>
    <col width="8.890000000000001" customWidth="1" style="1328" min="9479" max="9480"/>
    <col width="12.55" customWidth="1" style="1328" min="9481" max="9481"/>
    <col width="16.45" customWidth="1" style="1328" min="9482" max="9482"/>
    <col width="10.11" customWidth="1" style="1328" min="9483" max="9483"/>
    <col width="9.109999999999999" customWidth="1" style="1328" min="9484" max="9484"/>
    <col width="11.55" customWidth="1" style="1328" min="9485" max="9485"/>
    <col width="8.890000000000001" customWidth="1" style="1328" min="9486" max="9731"/>
    <col width="13.89" customWidth="1" style="1328" min="9732" max="9732"/>
    <col width="8.890000000000001" customWidth="1" style="1328" min="9733" max="9733"/>
    <col width="13.44" customWidth="1" style="1328" min="9734" max="9734"/>
    <col width="8.890000000000001" customWidth="1" style="1328" min="9735" max="9736"/>
    <col width="12.55" customWidth="1" style="1328" min="9737" max="9737"/>
    <col width="16.45" customWidth="1" style="1328" min="9738" max="9738"/>
    <col width="10.11" customWidth="1" style="1328" min="9739" max="9739"/>
    <col width="9.109999999999999" customWidth="1" style="1328" min="9740" max="9740"/>
    <col width="11.55" customWidth="1" style="1328" min="9741" max="9741"/>
    <col width="8.890000000000001" customWidth="1" style="1328" min="9742" max="9987"/>
    <col width="13.89" customWidth="1" style="1328" min="9988" max="9988"/>
    <col width="8.890000000000001" customWidth="1" style="1328" min="9989" max="9989"/>
    <col width="13.44" customWidth="1" style="1328" min="9990" max="9990"/>
    <col width="8.890000000000001" customWidth="1" style="1328" min="9991" max="9992"/>
    <col width="12.55" customWidth="1" style="1328" min="9993" max="9993"/>
    <col width="16.45" customWidth="1" style="1328" min="9994" max="9994"/>
    <col width="10.11" customWidth="1" style="1328" min="9995" max="9995"/>
    <col width="9.109999999999999" customWidth="1" style="1328" min="9996" max="9996"/>
    <col width="11.55" customWidth="1" style="1328" min="9997" max="9997"/>
    <col width="8.890000000000001" customWidth="1" style="1328" min="9998" max="10243"/>
    <col width="13.89" customWidth="1" style="1328" min="10244" max="10244"/>
    <col width="8.890000000000001" customWidth="1" style="1328" min="10245" max="10245"/>
    <col width="13.44" customWidth="1" style="1328" min="10246" max="10246"/>
    <col width="8.890000000000001" customWidth="1" style="1328" min="10247" max="10248"/>
    <col width="12.55" customWidth="1" style="1328" min="10249" max="10249"/>
    <col width="16.45" customWidth="1" style="1328" min="10250" max="10250"/>
    <col width="10.11" customWidth="1" style="1328" min="10251" max="10251"/>
    <col width="9.109999999999999" customWidth="1" style="1328" min="10252" max="10252"/>
    <col width="11.55" customWidth="1" style="1328" min="10253" max="10253"/>
    <col width="8.890000000000001" customWidth="1" style="1328" min="10254" max="10499"/>
    <col width="13.89" customWidth="1" style="1328" min="10500" max="10500"/>
    <col width="8.890000000000001" customWidth="1" style="1328" min="10501" max="10501"/>
    <col width="13.44" customWidth="1" style="1328" min="10502" max="10502"/>
    <col width="8.890000000000001" customWidth="1" style="1328" min="10503" max="10504"/>
    <col width="12.55" customWidth="1" style="1328" min="10505" max="10505"/>
    <col width="16.45" customWidth="1" style="1328" min="10506" max="10506"/>
    <col width="10.11" customWidth="1" style="1328" min="10507" max="10507"/>
    <col width="9.109999999999999" customWidth="1" style="1328" min="10508" max="10508"/>
    <col width="11.55" customWidth="1" style="1328" min="10509" max="10509"/>
    <col width="8.890000000000001" customWidth="1" style="1328" min="10510" max="10755"/>
    <col width="13.89" customWidth="1" style="1328" min="10756" max="10756"/>
    <col width="8.890000000000001" customWidth="1" style="1328" min="10757" max="10757"/>
    <col width="13.44" customWidth="1" style="1328" min="10758" max="10758"/>
    <col width="8.890000000000001" customWidth="1" style="1328" min="10759" max="10760"/>
    <col width="12.55" customWidth="1" style="1328" min="10761" max="10761"/>
    <col width="16.45" customWidth="1" style="1328" min="10762" max="10762"/>
    <col width="10.11" customWidth="1" style="1328" min="10763" max="10763"/>
    <col width="9.109999999999999" customWidth="1" style="1328" min="10764" max="10764"/>
    <col width="11.55" customWidth="1" style="1328" min="10765" max="10765"/>
    <col width="8.890000000000001" customWidth="1" style="1328" min="10766" max="11011"/>
    <col width="13.89" customWidth="1" style="1328" min="11012" max="11012"/>
    <col width="8.890000000000001" customWidth="1" style="1328" min="11013" max="11013"/>
    <col width="13.44" customWidth="1" style="1328" min="11014" max="11014"/>
    <col width="8.890000000000001" customWidth="1" style="1328" min="11015" max="11016"/>
    <col width="12.55" customWidth="1" style="1328" min="11017" max="11017"/>
    <col width="16.45" customWidth="1" style="1328" min="11018" max="11018"/>
    <col width="10.11" customWidth="1" style="1328" min="11019" max="11019"/>
    <col width="9.109999999999999" customWidth="1" style="1328" min="11020" max="11020"/>
    <col width="11.55" customWidth="1" style="1328" min="11021" max="11021"/>
    <col width="8.890000000000001" customWidth="1" style="1328" min="11022" max="11267"/>
    <col width="13.89" customWidth="1" style="1328" min="11268" max="11268"/>
    <col width="8.890000000000001" customWidth="1" style="1328" min="11269" max="11269"/>
    <col width="13.44" customWidth="1" style="1328" min="11270" max="11270"/>
    <col width="8.890000000000001" customWidth="1" style="1328" min="11271" max="11272"/>
    <col width="12.55" customWidth="1" style="1328" min="11273" max="11273"/>
    <col width="16.45" customWidth="1" style="1328" min="11274" max="11274"/>
    <col width="10.11" customWidth="1" style="1328" min="11275" max="11275"/>
    <col width="9.109999999999999" customWidth="1" style="1328" min="11276" max="11276"/>
    <col width="11.55" customWidth="1" style="1328" min="11277" max="11277"/>
    <col width="8.890000000000001" customWidth="1" style="1328" min="11278" max="11523"/>
    <col width="13.89" customWidth="1" style="1328" min="11524" max="11524"/>
    <col width="8.890000000000001" customWidth="1" style="1328" min="11525" max="11525"/>
    <col width="13.44" customWidth="1" style="1328" min="11526" max="11526"/>
    <col width="8.890000000000001" customWidth="1" style="1328" min="11527" max="11528"/>
    <col width="12.55" customWidth="1" style="1328" min="11529" max="11529"/>
    <col width="16.45" customWidth="1" style="1328" min="11530" max="11530"/>
    <col width="10.11" customWidth="1" style="1328" min="11531" max="11531"/>
    <col width="9.109999999999999" customWidth="1" style="1328" min="11532" max="11532"/>
    <col width="11.55" customWidth="1" style="1328" min="11533" max="11533"/>
    <col width="8.890000000000001" customWidth="1" style="1328" min="11534" max="11779"/>
    <col width="13.89" customWidth="1" style="1328" min="11780" max="11780"/>
    <col width="8.890000000000001" customWidth="1" style="1328" min="11781" max="11781"/>
    <col width="13.44" customWidth="1" style="1328" min="11782" max="11782"/>
    <col width="8.890000000000001" customWidth="1" style="1328" min="11783" max="11784"/>
    <col width="12.55" customWidth="1" style="1328" min="11785" max="11785"/>
    <col width="16.45" customWidth="1" style="1328" min="11786" max="11786"/>
    <col width="10.11" customWidth="1" style="1328" min="11787" max="11787"/>
    <col width="9.109999999999999" customWidth="1" style="1328" min="11788" max="11788"/>
    <col width="11.55" customWidth="1" style="1328" min="11789" max="11789"/>
    <col width="8.890000000000001" customWidth="1" style="1328" min="11790" max="12035"/>
    <col width="13.89" customWidth="1" style="1328" min="12036" max="12036"/>
    <col width="8.890000000000001" customWidth="1" style="1328" min="12037" max="12037"/>
    <col width="13.44" customWidth="1" style="1328" min="12038" max="12038"/>
    <col width="8.890000000000001" customWidth="1" style="1328" min="12039" max="12040"/>
    <col width="12.55" customWidth="1" style="1328" min="12041" max="12041"/>
    <col width="16.45" customWidth="1" style="1328" min="12042" max="12042"/>
    <col width="10.11" customWidth="1" style="1328" min="12043" max="12043"/>
    <col width="9.109999999999999" customWidth="1" style="1328" min="12044" max="12044"/>
    <col width="11.55" customWidth="1" style="1328" min="12045" max="12045"/>
    <col width="8.890000000000001" customWidth="1" style="1328" min="12046" max="12291"/>
    <col width="13.89" customWidth="1" style="1328" min="12292" max="12292"/>
    <col width="8.890000000000001" customWidth="1" style="1328" min="12293" max="12293"/>
    <col width="13.44" customWidth="1" style="1328" min="12294" max="12294"/>
    <col width="8.890000000000001" customWidth="1" style="1328" min="12295" max="12296"/>
    <col width="12.55" customWidth="1" style="1328" min="12297" max="12297"/>
    <col width="16.45" customWidth="1" style="1328" min="12298" max="12298"/>
    <col width="10.11" customWidth="1" style="1328" min="12299" max="12299"/>
    <col width="9.109999999999999" customWidth="1" style="1328" min="12300" max="12300"/>
    <col width="11.55" customWidth="1" style="1328" min="12301" max="12301"/>
    <col width="8.890000000000001" customWidth="1" style="1328" min="12302" max="12547"/>
    <col width="13.89" customWidth="1" style="1328" min="12548" max="12548"/>
    <col width="8.890000000000001" customWidth="1" style="1328" min="12549" max="12549"/>
    <col width="13.44" customWidth="1" style="1328" min="12550" max="12550"/>
    <col width="8.890000000000001" customWidth="1" style="1328" min="12551" max="12552"/>
    <col width="12.55" customWidth="1" style="1328" min="12553" max="12553"/>
    <col width="16.45" customWidth="1" style="1328" min="12554" max="12554"/>
    <col width="10.11" customWidth="1" style="1328" min="12555" max="12555"/>
    <col width="9.109999999999999" customWidth="1" style="1328" min="12556" max="12556"/>
    <col width="11.55" customWidth="1" style="1328" min="12557" max="12557"/>
    <col width="8.890000000000001" customWidth="1" style="1328" min="12558" max="12803"/>
    <col width="13.89" customWidth="1" style="1328" min="12804" max="12804"/>
    <col width="8.890000000000001" customWidth="1" style="1328" min="12805" max="12805"/>
    <col width="13.44" customWidth="1" style="1328" min="12806" max="12806"/>
    <col width="8.890000000000001" customWidth="1" style="1328" min="12807" max="12808"/>
    <col width="12.55" customWidth="1" style="1328" min="12809" max="12809"/>
    <col width="16.45" customWidth="1" style="1328" min="12810" max="12810"/>
    <col width="10.11" customWidth="1" style="1328" min="12811" max="12811"/>
    <col width="9.109999999999999" customWidth="1" style="1328" min="12812" max="12812"/>
    <col width="11.55" customWidth="1" style="1328" min="12813" max="12813"/>
    <col width="8.890000000000001" customWidth="1" style="1328" min="12814" max="13059"/>
    <col width="13.89" customWidth="1" style="1328" min="13060" max="13060"/>
    <col width="8.890000000000001" customWidth="1" style="1328" min="13061" max="13061"/>
    <col width="13.44" customWidth="1" style="1328" min="13062" max="13062"/>
    <col width="8.890000000000001" customWidth="1" style="1328" min="13063" max="13064"/>
    <col width="12.55" customWidth="1" style="1328" min="13065" max="13065"/>
    <col width="16.45" customWidth="1" style="1328" min="13066" max="13066"/>
    <col width="10.11" customWidth="1" style="1328" min="13067" max="13067"/>
    <col width="9.109999999999999" customWidth="1" style="1328" min="13068" max="13068"/>
    <col width="11.55" customWidth="1" style="1328" min="13069" max="13069"/>
    <col width="8.890000000000001" customWidth="1" style="1328" min="13070" max="13315"/>
    <col width="13.89" customWidth="1" style="1328" min="13316" max="13316"/>
    <col width="8.890000000000001" customWidth="1" style="1328" min="13317" max="13317"/>
    <col width="13.44" customWidth="1" style="1328" min="13318" max="13318"/>
    <col width="8.890000000000001" customWidth="1" style="1328" min="13319" max="13320"/>
    <col width="12.55" customWidth="1" style="1328" min="13321" max="13321"/>
    <col width="16.45" customWidth="1" style="1328" min="13322" max="13322"/>
    <col width="10.11" customWidth="1" style="1328" min="13323" max="13323"/>
    <col width="9.109999999999999" customWidth="1" style="1328" min="13324" max="13324"/>
    <col width="11.55" customWidth="1" style="1328" min="13325" max="13325"/>
    <col width="8.890000000000001" customWidth="1" style="1328" min="13326" max="13571"/>
    <col width="13.89" customWidth="1" style="1328" min="13572" max="13572"/>
    <col width="8.890000000000001" customWidth="1" style="1328" min="13573" max="13573"/>
    <col width="13.44" customWidth="1" style="1328" min="13574" max="13574"/>
    <col width="8.890000000000001" customWidth="1" style="1328" min="13575" max="13576"/>
    <col width="12.55" customWidth="1" style="1328" min="13577" max="13577"/>
    <col width="16.45" customWidth="1" style="1328" min="13578" max="13578"/>
    <col width="10.11" customWidth="1" style="1328" min="13579" max="13579"/>
    <col width="9.109999999999999" customWidth="1" style="1328" min="13580" max="13580"/>
    <col width="11.55" customWidth="1" style="1328" min="13581" max="13581"/>
    <col width="8.890000000000001" customWidth="1" style="1328" min="13582" max="13827"/>
    <col width="13.89" customWidth="1" style="1328" min="13828" max="13828"/>
    <col width="8.890000000000001" customWidth="1" style="1328" min="13829" max="13829"/>
    <col width="13.44" customWidth="1" style="1328" min="13830" max="13830"/>
    <col width="8.890000000000001" customWidth="1" style="1328" min="13831" max="13832"/>
    <col width="12.55" customWidth="1" style="1328" min="13833" max="13833"/>
    <col width="16.45" customWidth="1" style="1328" min="13834" max="13834"/>
    <col width="10.11" customWidth="1" style="1328" min="13835" max="13835"/>
    <col width="9.109999999999999" customWidth="1" style="1328" min="13836" max="13836"/>
    <col width="11.55" customWidth="1" style="1328" min="13837" max="13837"/>
    <col width="8.890000000000001" customWidth="1" style="1328" min="13838" max="14083"/>
    <col width="13.89" customWidth="1" style="1328" min="14084" max="14084"/>
    <col width="8.890000000000001" customWidth="1" style="1328" min="14085" max="14085"/>
    <col width="13.44" customWidth="1" style="1328" min="14086" max="14086"/>
    <col width="8.890000000000001" customWidth="1" style="1328" min="14087" max="14088"/>
    <col width="12.55" customWidth="1" style="1328" min="14089" max="14089"/>
    <col width="16.45" customWidth="1" style="1328" min="14090" max="14090"/>
    <col width="10.11" customWidth="1" style="1328" min="14091" max="14091"/>
    <col width="9.109999999999999" customWidth="1" style="1328" min="14092" max="14092"/>
    <col width="11.55" customWidth="1" style="1328" min="14093" max="14093"/>
    <col width="8.890000000000001" customWidth="1" style="1328" min="14094" max="14339"/>
    <col width="13.89" customWidth="1" style="1328" min="14340" max="14340"/>
    <col width="8.890000000000001" customWidth="1" style="1328" min="14341" max="14341"/>
    <col width="13.44" customWidth="1" style="1328" min="14342" max="14342"/>
    <col width="8.890000000000001" customWidth="1" style="1328" min="14343" max="14344"/>
    <col width="12.55" customWidth="1" style="1328" min="14345" max="14345"/>
    <col width="16.45" customWidth="1" style="1328" min="14346" max="14346"/>
    <col width="10.11" customWidth="1" style="1328" min="14347" max="14347"/>
    <col width="9.109999999999999" customWidth="1" style="1328" min="14348" max="14348"/>
    <col width="11.55" customWidth="1" style="1328" min="14349" max="14349"/>
    <col width="8.890000000000001" customWidth="1" style="1328" min="14350" max="14595"/>
    <col width="13.89" customWidth="1" style="1328" min="14596" max="14596"/>
    <col width="8.890000000000001" customWidth="1" style="1328" min="14597" max="14597"/>
    <col width="13.44" customWidth="1" style="1328" min="14598" max="14598"/>
    <col width="8.890000000000001" customWidth="1" style="1328" min="14599" max="14600"/>
    <col width="12.55" customWidth="1" style="1328" min="14601" max="14601"/>
    <col width="16.45" customWidth="1" style="1328" min="14602" max="14602"/>
    <col width="10.11" customWidth="1" style="1328" min="14603" max="14603"/>
    <col width="9.109999999999999" customWidth="1" style="1328" min="14604" max="14604"/>
    <col width="11.55" customWidth="1" style="1328" min="14605" max="14605"/>
    <col width="8.890000000000001" customWidth="1" style="1328" min="14606" max="14851"/>
    <col width="13.89" customWidth="1" style="1328" min="14852" max="14852"/>
    <col width="8.890000000000001" customWidth="1" style="1328" min="14853" max="14853"/>
    <col width="13.44" customWidth="1" style="1328" min="14854" max="14854"/>
    <col width="8.890000000000001" customWidth="1" style="1328" min="14855" max="14856"/>
    <col width="12.55" customWidth="1" style="1328" min="14857" max="14857"/>
    <col width="16.45" customWidth="1" style="1328" min="14858" max="14858"/>
    <col width="10.11" customWidth="1" style="1328" min="14859" max="14859"/>
    <col width="9.109999999999999" customWidth="1" style="1328" min="14860" max="14860"/>
    <col width="11.55" customWidth="1" style="1328" min="14861" max="14861"/>
    <col width="8.890000000000001" customWidth="1" style="1328" min="14862" max="15107"/>
    <col width="13.89" customWidth="1" style="1328" min="15108" max="15108"/>
    <col width="8.890000000000001" customWidth="1" style="1328" min="15109" max="15109"/>
    <col width="13.44" customWidth="1" style="1328" min="15110" max="15110"/>
    <col width="8.890000000000001" customWidth="1" style="1328" min="15111" max="15112"/>
    <col width="12.55" customWidth="1" style="1328" min="15113" max="15113"/>
    <col width="16.45" customWidth="1" style="1328" min="15114" max="15114"/>
    <col width="10.11" customWidth="1" style="1328" min="15115" max="15115"/>
    <col width="9.109999999999999" customWidth="1" style="1328" min="15116" max="15116"/>
    <col width="11.55" customWidth="1" style="1328" min="15117" max="15117"/>
    <col width="8.890000000000001" customWidth="1" style="1328" min="15118" max="15363"/>
    <col width="13.89" customWidth="1" style="1328" min="15364" max="15364"/>
    <col width="8.890000000000001" customWidth="1" style="1328" min="15365" max="15365"/>
    <col width="13.44" customWidth="1" style="1328" min="15366" max="15366"/>
    <col width="8.890000000000001" customWidth="1" style="1328" min="15367" max="15368"/>
    <col width="12.55" customWidth="1" style="1328" min="15369" max="15369"/>
    <col width="16.45" customWidth="1" style="1328" min="15370" max="15370"/>
    <col width="10.11" customWidth="1" style="1328" min="15371" max="15371"/>
    <col width="9.109999999999999" customWidth="1" style="1328" min="15372" max="15372"/>
    <col width="11.55" customWidth="1" style="1328" min="15373" max="15373"/>
    <col width="8.890000000000001" customWidth="1" style="1328" min="15374" max="15619"/>
    <col width="13.89" customWidth="1" style="1328" min="15620" max="15620"/>
    <col width="8.890000000000001" customWidth="1" style="1328" min="15621" max="15621"/>
    <col width="13.44" customWidth="1" style="1328" min="15622" max="15622"/>
    <col width="8.890000000000001" customWidth="1" style="1328" min="15623" max="15624"/>
    <col width="12.55" customWidth="1" style="1328" min="15625" max="15625"/>
    <col width="16.45" customWidth="1" style="1328" min="15626" max="15626"/>
    <col width="10.11" customWidth="1" style="1328" min="15627" max="15627"/>
    <col width="9.109999999999999" customWidth="1" style="1328" min="15628" max="15628"/>
    <col width="11.55" customWidth="1" style="1328" min="15629" max="15629"/>
    <col width="8.890000000000001" customWidth="1" style="1328" min="15630" max="15875"/>
    <col width="13.89" customWidth="1" style="1328" min="15876" max="15876"/>
    <col width="8.890000000000001" customWidth="1" style="1328" min="15877" max="15877"/>
    <col width="13.44" customWidth="1" style="1328" min="15878" max="15878"/>
    <col width="8.890000000000001" customWidth="1" style="1328" min="15879" max="15880"/>
    <col width="12.55" customWidth="1" style="1328" min="15881" max="15881"/>
    <col width="16.45" customWidth="1" style="1328" min="15882" max="15882"/>
    <col width="10.11" customWidth="1" style="1328" min="15883" max="15883"/>
    <col width="9.109999999999999" customWidth="1" style="1328" min="15884" max="15884"/>
    <col width="11.55" customWidth="1" style="1328" min="15885" max="15885"/>
    <col width="8.890000000000001" customWidth="1" style="1328" min="15886" max="16131"/>
    <col width="13.89" customWidth="1" style="1328" min="16132" max="16132"/>
    <col width="8.890000000000001" customWidth="1" style="1328" min="16133" max="16133"/>
    <col width="13.44" customWidth="1" style="1328" min="16134" max="16134"/>
    <col width="8.890000000000001" customWidth="1" style="1328" min="16135" max="16136"/>
    <col width="12.55" customWidth="1" style="1328" min="16137" max="16137"/>
    <col width="16.45" customWidth="1" style="1328" min="16138" max="16138"/>
    <col width="10.11" customWidth="1" style="1328" min="16139" max="16139"/>
    <col width="9.109999999999999" customWidth="1" style="1328" min="16140" max="16140"/>
    <col width="11.55" customWidth="1" style="1328" min="16141" max="16141"/>
    <col width="8.890000000000001" customWidth="1" style="1328" min="16142" max="16384"/>
  </cols>
  <sheetData>
    <row r="2" ht="12.75" customHeight="1" s="862">
      <c r="A2" s="1330" t="n"/>
      <c r="B2" s="1331" t="n"/>
      <c r="C2" s="1332" t="n"/>
      <c r="D2" s="1332" t="n"/>
      <c r="E2" s="1332" t="n"/>
      <c r="F2" s="1332" t="n"/>
      <c r="G2" s="1332" t="n"/>
      <c r="H2" s="1332" t="n"/>
      <c r="I2" s="1332" t="n"/>
      <c r="J2" s="1332" t="n"/>
      <c r="K2" s="1332" t="n"/>
      <c r="L2" s="1332" t="n"/>
      <c r="M2" s="1332" t="n"/>
      <c r="N2" s="1333" t="n"/>
    </row>
    <row r="3" ht="12.75" customHeight="1" s="862">
      <c r="A3" s="1334" t="n"/>
      <c r="N3" s="1335" t="n"/>
    </row>
    <row r="4" ht="12.75" customHeight="1" s="862">
      <c r="A4" s="1334" t="n"/>
      <c r="N4" s="1335" t="n"/>
    </row>
    <row r="5" ht="12.75" customHeight="1" s="862">
      <c r="A5" s="1334" t="n"/>
      <c r="N5" s="1335" t="n"/>
    </row>
    <row r="6" ht="12.75" customHeight="1" s="862">
      <c r="A6" s="1334" t="n"/>
      <c r="N6" s="1335" t="n"/>
    </row>
    <row r="7" ht="12.75" customHeight="1" s="862">
      <c r="A7" s="1334" t="n"/>
      <c r="N7" s="1335" t="n"/>
    </row>
    <row r="8" ht="19.5" customHeight="1" s="862">
      <c r="A8" s="1334" t="n"/>
      <c r="L8" s="1336" t="n"/>
      <c r="N8" s="1335" t="n"/>
    </row>
    <row r="9" ht="12.75" customHeight="1" s="862">
      <c r="A9" s="1334" t="n"/>
      <c r="N9" s="1335" t="n"/>
    </row>
    <row r="10" ht="12.75" customHeight="1" s="862">
      <c r="A10" s="1334" t="n"/>
      <c r="N10" s="1335" t="n"/>
    </row>
    <row r="11" ht="12.75" customHeight="1" s="862">
      <c r="A11" s="1334" t="n"/>
      <c r="N11" s="1335" t="n"/>
    </row>
    <row r="12" ht="12.75" customHeight="1" s="862">
      <c r="A12" s="1334" t="n"/>
      <c r="N12" s="1335" t="n"/>
    </row>
    <row r="13" ht="12.75" customHeight="1" s="862">
      <c r="A13" s="1334" t="n"/>
      <c r="N13" s="1335" t="n"/>
    </row>
    <row r="14" ht="24" customHeight="1" s="862">
      <c r="A14" s="1334" t="n"/>
      <c r="B14" s="1337" t="inlineStr">
        <is>
          <t>Well Completion Report</t>
        </is>
      </c>
      <c r="N14" s="1338" t="n"/>
      <c r="O14" s="1339" t="n"/>
      <c r="P14" s="1339" t="n"/>
      <c r="Q14" s="1339" t="n"/>
      <c r="R14" s="1339" t="n"/>
      <c r="S14" s="1339" t="n"/>
      <c r="T14" s="1339" t="n"/>
    </row>
    <row r="15" ht="24" customHeight="1" s="862">
      <c r="A15" s="1334" t="n"/>
      <c r="N15" s="1338" t="n"/>
      <c r="O15" s="1339" t="n"/>
      <c r="P15" s="1339" t="n"/>
      <c r="Q15" s="1339" t="n"/>
      <c r="R15" s="1339" t="n"/>
      <c r="S15" s="1339" t="n"/>
      <c r="T15" s="1339" t="n"/>
    </row>
    <row r="16" ht="24" customHeight="1" s="862">
      <c r="A16" s="1334" t="n"/>
      <c r="N16" s="1338" t="n"/>
      <c r="O16" s="1339" t="n"/>
      <c r="P16" s="1339" t="n"/>
      <c r="Q16" s="1339" t="n"/>
      <c r="R16" s="1339" t="n"/>
      <c r="S16" s="1339" t="n"/>
      <c r="T16" s="1339" t="n"/>
    </row>
    <row r="17" ht="24" customHeight="1" s="862">
      <c r="A17" s="1334" t="n"/>
      <c r="N17" s="1338" t="n"/>
      <c r="O17" s="1339" t="n"/>
      <c r="P17" s="1339" t="n"/>
      <c r="Q17" s="1339" t="n"/>
      <c r="R17" s="1339" t="n"/>
      <c r="S17" s="1339" t="n"/>
      <c r="T17" s="1339" t="n"/>
    </row>
    <row r="18" ht="30" customHeight="1" s="862">
      <c r="A18" s="1334" t="n"/>
      <c r="N18" s="1338" t="n"/>
      <c r="O18" s="1339" t="n"/>
      <c r="P18" s="1339" t="n"/>
      <c r="Q18" s="1339" t="n"/>
      <c r="R18" s="1339" t="n"/>
      <c r="S18" s="1339" t="n"/>
      <c r="T18" s="1339" t="n"/>
    </row>
    <row r="19" ht="30" customHeight="1" s="862">
      <c r="A19" s="1334" t="n"/>
      <c r="N19" s="1338" t="n"/>
      <c r="O19" s="1339" t="n"/>
      <c r="P19" s="1339" t="n"/>
      <c r="Q19" s="1339" t="n"/>
      <c r="R19" s="1339" t="n"/>
      <c r="S19" s="1339" t="n"/>
      <c r="T19" s="1339" t="n"/>
    </row>
    <row r="20" ht="30" customHeight="1" s="862">
      <c r="A20" s="1334" t="n"/>
      <c r="N20" s="1338" t="n"/>
      <c r="O20" s="1339" t="n"/>
      <c r="P20" s="1339" t="n"/>
      <c r="Q20" s="1339" t="n"/>
      <c r="R20" s="1339" t="n"/>
      <c r="S20" s="1339" t="n"/>
      <c r="T20" s="1339" t="n"/>
    </row>
    <row r="21" ht="25.5" customHeight="1" s="862">
      <c r="A21" s="1334" t="n"/>
      <c r="B21" s="1340" t="n"/>
      <c r="C21" s="1340" t="n"/>
      <c r="D21" s="1340" t="n"/>
      <c r="E21" s="1340" t="n"/>
      <c r="F21" s="1340" t="n"/>
      <c r="G21" s="1340" t="n"/>
      <c r="H21" s="1340" t="n"/>
      <c r="I21" s="1340" t="n"/>
      <c r="J21" s="1340" t="n"/>
      <c r="K21" s="1340" t="n"/>
      <c r="L21" s="1340" t="n"/>
      <c r="M21" s="1340" t="n"/>
      <c r="N21" s="1338" t="n"/>
      <c r="O21" s="1339" t="n"/>
      <c r="P21" s="1339" t="n"/>
      <c r="Q21" s="1339" t="n"/>
      <c r="R21" s="1339" t="n"/>
      <c r="S21" s="1339" t="n"/>
      <c r="T21" s="1339" t="n"/>
    </row>
    <row r="22" ht="17.25" customHeight="1" s="862">
      <c r="A22" s="1334" t="n"/>
      <c r="B22" s="1341" t="n"/>
      <c r="C22" s="1341" t="n"/>
      <c r="D22" s="1342" t="n"/>
      <c r="E22" s="1343" t="n"/>
      <c r="F22" s="1343" t="n"/>
      <c r="G22" s="1343" t="n"/>
      <c r="H22" s="1343" t="n"/>
      <c r="I22" s="1343" t="n"/>
      <c r="J22" s="1343" t="n"/>
      <c r="K22" s="1343" t="n"/>
      <c r="L22" s="1343" t="n"/>
      <c r="M22" s="1343" t="n"/>
      <c r="N22" s="1344" t="n"/>
      <c r="O22" s="1342" t="n"/>
      <c r="P22" s="1342" t="n"/>
    </row>
    <row r="23" ht="28.5" customHeight="1" s="862">
      <c r="A23" s="1334" t="n"/>
      <c r="B23" s="1342" t="n"/>
      <c r="C23" s="1342" t="n"/>
      <c r="D23" s="1342" t="n"/>
      <c r="E23" s="1342" t="n"/>
      <c r="F23" s="1342" t="n"/>
      <c r="G23" s="1345" t="inlineStr">
        <is>
          <t>CUSTOMER:</t>
        </is>
      </c>
      <c r="H23" s="1346" t="n"/>
      <c r="I23" s="1347">
        <f>_xlfn.CONCAT('MS2'!C2:D2)</f>
        <v/>
      </c>
      <c r="N23" s="1344" t="n"/>
      <c r="O23" s="1342" t="n"/>
      <c r="P23" s="1342" t="n"/>
    </row>
    <row r="24" ht="28.5" customHeight="1" s="862">
      <c r="A24" s="1334" t="n"/>
      <c r="B24" s="1348" t="n"/>
      <c r="C24" s="1342" t="n"/>
      <c r="D24" s="1342" t="n"/>
      <c r="E24" s="1342" t="n"/>
      <c r="F24" s="1342" t="n"/>
      <c r="G24" s="1346" t="n"/>
      <c r="H24" s="1346" t="n"/>
      <c r="I24" s="1347" t="n"/>
      <c r="J24" s="1347" t="n"/>
      <c r="K24" s="1347" t="n"/>
      <c r="L24" s="1347" t="n"/>
      <c r="M24" s="1347" t="n"/>
      <c r="N24" s="1344" t="n"/>
      <c r="O24" s="1342" t="n"/>
      <c r="P24" s="1342" t="n"/>
    </row>
    <row r="25" ht="28.5" customHeight="1" s="862">
      <c r="A25" s="1334" t="n"/>
      <c r="B25" s="1348" t="n"/>
      <c r="C25" s="1342" t="n"/>
      <c r="D25" s="1342" t="n"/>
      <c r="E25" s="1342" t="n"/>
      <c r="F25" s="1342" t="n"/>
      <c r="G25" s="1345" t="inlineStr">
        <is>
          <t>FIELD:</t>
        </is>
      </c>
      <c r="H25" s="1346" t="n"/>
      <c r="I25" s="1347" t="inlineStr">
        <is>
          <t>BAB</t>
        </is>
      </c>
      <c r="N25" s="1344" t="n"/>
      <c r="O25" s="1342" t="n"/>
      <c r="P25" s="1342" t="n"/>
    </row>
    <row r="26" ht="28.5" customHeight="1" s="862">
      <c r="A26" s="1334" t="n"/>
      <c r="B26" s="1348" t="n"/>
      <c r="C26" s="1342" t="n"/>
      <c r="D26" s="1342" t="n"/>
      <c r="E26" s="1342" t="n"/>
      <c r="F26" s="1342" t="n"/>
      <c r="G26" s="1346" t="n"/>
      <c r="H26" s="1346" t="n"/>
      <c r="I26" s="1347" t="n"/>
      <c r="J26" s="1347" t="n"/>
      <c r="K26" s="1347" t="n"/>
      <c r="L26" s="1347" t="n"/>
      <c r="M26" s="1347" t="n"/>
      <c r="N26" s="1344" t="n"/>
      <c r="O26" s="1342" t="n"/>
      <c r="P26" s="1342" t="n"/>
    </row>
    <row r="27" ht="28.5" customHeight="1" s="862">
      <c r="A27" s="1334" t="n"/>
      <c r="B27" s="1342" t="n"/>
      <c r="C27" s="1342" t="n"/>
      <c r="D27" s="1342" t="n"/>
      <c r="E27" s="1342" t="n"/>
      <c r="F27" s="1342" t="n"/>
      <c r="G27" s="1345" t="inlineStr">
        <is>
          <t>WELL:</t>
        </is>
      </c>
      <c r="H27" s="1346" t="n"/>
      <c r="I27" s="1347">
        <f>'MS2'!I9</f>
        <v/>
      </c>
      <c r="N27" s="1344" t="n"/>
      <c r="O27" s="1342" t="n"/>
      <c r="P27" s="1342" t="n"/>
    </row>
    <row r="28" ht="28.5" customHeight="1" s="862">
      <c r="A28" s="1334" t="n"/>
      <c r="B28" s="1348" t="n"/>
      <c r="C28" s="1342" t="n"/>
      <c r="D28" s="1342" t="n"/>
      <c r="E28" s="1342" t="n"/>
      <c r="F28" s="1342" t="n"/>
      <c r="G28" s="1346" t="n"/>
      <c r="H28" s="1346" t="n"/>
      <c r="I28" s="1347" t="n"/>
      <c r="J28" s="1347" t="n"/>
      <c r="K28" s="1347" t="n"/>
      <c r="L28" s="1347" t="n"/>
      <c r="M28" s="1347" t="n"/>
      <c r="N28" s="1344" t="n"/>
      <c r="O28" s="1342" t="n"/>
      <c r="P28" s="1342" t="n"/>
    </row>
    <row r="29" ht="120" customHeight="1" s="862">
      <c r="A29" s="1334" t="n"/>
      <c r="B29" s="1342" t="n"/>
      <c r="C29" s="1342" t="n"/>
      <c r="D29" s="1342" t="n"/>
      <c r="E29" s="1342" t="n"/>
      <c r="F29" s="1342" t="n"/>
      <c r="G29" s="1349" t="inlineStr">
        <is>
          <t>COMPLETION TYPE:</t>
        </is>
      </c>
      <c r="H29" s="1346" t="n"/>
      <c r="I29" s="1350" t="inlineStr">
        <is>
          <t xml:space="preserve">3-1/2" Single Oil Producer, Alloy-28 Tubing, 3-1/2" TRSV, Permanent Conventional Packer, W/ Gas Lift, W/ Actuated Wellhead, Y-Shape
 </t>
        </is>
      </c>
      <c r="N29" s="1344" t="n"/>
      <c r="O29" s="1342" t="n"/>
      <c r="P29" s="1342" t="n"/>
    </row>
    <row r="30" ht="28.5" customHeight="1" s="862">
      <c r="A30" s="1334" t="n"/>
      <c r="B30" s="1342" t="n"/>
      <c r="C30" s="1342" t="n"/>
      <c r="D30" s="1342" t="n"/>
      <c r="E30" s="1342" t="n"/>
      <c r="F30" s="1342" t="n"/>
      <c r="G30" s="1345" t="n"/>
      <c r="H30" s="1346" t="n"/>
      <c r="I30" s="1347" t="n"/>
      <c r="J30" s="1347" t="n"/>
      <c r="K30" s="1347" t="n"/>
      <c r="L30" s="1347" t="n"/>
      <c r="M30" s="1347" t="n"/>
      <c r="N30" s="1344" t="n"/>
      <c r="O30" s="1342" t="n"/>
      <c r="P30" s="1342" t="n"/>
    </row>
    <row r="31" ht="28.5" customHeight="1" s="862">
      <c r="A31" s="1334" t="n"/>
      <c r="B31" s="1342" t="n"/>
      <c r="C31" s="1342" t="n"/>
      <c r="D31" s="1342" t="n"/>
      <c r="E31" s="1342" t="n"/>
      <c r="F31" s="1342" t="n"/>
      <c r="G31" s="1345" t="inlineStr">
        <is>
          <t>COMPLETION DATE:</t>
        </is>
      </c>
      <c r="H31" s="1346" t="n"/>
      <c r="I31" s="1347">
        <f>_xlfn.CONCAT('MS2'!C5:D5)</f>
        <v/>
      </c>
      <c r="N31" s="1344" t="n"/>
      <c r="O31" s="1342" t="n"/>
      <c r="P31" s="1342" t="n"/>
    </row>
    <row r="32" ht="28.5" customHeight="1" s="862">
      <c r="A32" s="1334" t="n"/>
      <c r="B32" s="1342" t="n"/>
      <c r="C32" s="1342" t="n"/>
      <c r="D32" s="1342" t="n"/>
      <c r="E32" s="1342" t="n"/>
      <c r="F32" s="1342" t="n"/>
      <c r="G32" s="1345" t="n"/>
      <c r="H32" s="1346" t="n"/>
      <c r="I32" s="1347" t="n"/>
      <c r="N32" s="1344" t="n"/>
      <c r="O32" s="1342" t="n"/>
      <c r="P32" s="1342" t="n"/>
    </row>
    <row r="33" ht="28.5" customHeight="1" s="862">
      <c r="A33" s="1334" t="n"/>
      <c r="B33" s="1342" t="n"/>
      <c r="C33" s="1342" t="n"/>
      <c r="D33" s="1342" t="n"/>
      <c r="E33" s="1342" t="n"/>
      <c r="F33" s="1342" t="n"/>
      <c r="G33" s="1345" t="inlineStr">
        <is>
          <t>DRILLING CONTRACTOR:</t>
        </is>
      </c>
      <c r="H33" s="1346" t="n"/>
      <c r="I33" s="1347" t="inlineStr">
        <is>
          <t>ADNOC DRILLING</t>
        </is>
      </c>
      <c r="N33" s="1344" t="n"/>
      <c r="O33" s="1342" t="n"/>
      <c r="P33" s="1342" t="n"/>
    </row>
    <row r="34" ht="28.5" customHeight="1" s="862">
      <c r="A34" s="1334" t="n"/>
      <c r="B34" s="1342" t="n"/>
      <c r="C34" s="1342" t="n"/>
      <c r="D34" s="1342" t="n"/>
      <c r="E34" s="1342" t="n"/>
      <c r="F34" s="1342" t="n"/>
      <c r="G34" s="1345" t="n"/>
      <c r="H34" s="1346" t="n"/>
      <c r="I34" s="1347" t="n"/>
      <c r="J34" s="1347" t="n"/>
      <c r="K34" s="1347" t="n"/>
      <c r="L34" s="1347" t="n"/>
      <c r="M34" s="1347" t="n"/>
      <c r="N34" s="1344" t="n"/>
      <c r="O34" s="1342" t="n"/>
      <c r="P34" s="1342" t="n"/>
    </row>
    <row r="35" ht="28.5" customHeight="1" s="862">
      <c r="A35" s="1334" t="n"/>
      <c r="B35" s="1342" t="n"/>
      <c r="C35" s="1342" t="n"/>
      <c r="D35" s="1342" t="n"/>
      <c r="E35" s="1342" t="n"/>
      <c r="F35" s="1342" t="n"/>
      <c r="G35" s="1345" t="inlineStr">
        <is>
          <t>RIG:</t>
        </is>
      </c>
      <c r="H35" s="1346" t="n"/>
      <c r="I35" s="1347">
        <f>'MS2'!I8</f>
        <v/>
      </c>
      <c r="N35" s="1344" t="n"/>
      <c r="O35" s="1342" t="n"/>
      <c r="P35" s="1342" t="n"/>
    </row>
    <row r="36" ht="28.5" customHeight="1" s="862">
      <c r="A36" s="1334" t="n"/>
      <c r="B36" s="1342" t="n"/>
      <c r="C36" s="1342" t="n"/>
      <c r="D36" s="1342" t="n"/>
      <c r="E36" s="1342" t="n"/>
      <c r="F36" s="1342" t="n"/>
      <c r="G36" s="1345" t="n"/>
      <c r="H36" s="1346" t="n"/>
      <c r="I36" s="1347" t="n"/>
      <c r="J36" s="1347" t="n"/>
      <c r="K36" s="1347" t="n"/>
      <c r="L36" s="1347" t="n"/>
      <c r="M36" s="1347" t="n"/>
      <c r="N36" s="1344" t="n"/>
      <c r="O36" s="1342" t="n"/>
      <c r="P36" s="1342" t="n"/>
    </row>
    <row r="37" ht="28.5" customHeight="1" s="862">
      <c r="A37" s="1334" t="n"/>
      <c r="B37" s="1342" t="n"/>
      <c r="C37" s="1342" t="n"/>
      <c r="D37" s="1342" t="n"/>
      <c r="E37" s="1342" t="n"/>
      <c r="F37" s="1342" t="n"/>
      <c r="G37" s="1345" t="inlineStr">
        <is>
          <t>ADNOC COMPLETION ENGINEER:</t>
        </is>
      </c>
      <c r="H37" s="1346" t="n"/>
      <c r="I37" s="1347" t="inlineStr">
        <is>
          <t xml:space="preserve">Mariam Rashed Alnuaimi </t>
        </is>
      </c>
      <c r="N37" s="1344" t="n"/>
      <c r="O37" s="1342" t="n"/>
      <c r="P37" s="1342" t="n"/>
    </row>
    <row r="38" ht="28.5" customHeight="1" s="862">
      <c r="A38" s="1334" t="n"/>
      <c r="B38" s="1342" t="n"/>
      <c r="C38" s="1342" t="n"/>
      <c r="D38" s="1342" t="n"/>
      <c r="E38" s="1342" t="n"/>
      <c r="F38" s="1342" t="n"/>
      <c r="G38" s="1345" t="n"/>
      <c r="H38" s="1346" t="n"/>
      <c r="I38" s="1347" t="n"/>
      <c r="J38" s="1347" t="n"/>
      <c r="K38" s="1347" t="n"/>
      <c r="L38" s="1347" t="n"/>
      <c r="M38" s="1347" t="n"/>
      <c r="N38" s="1344" t="n"/>
      <c r="O38" s="1342" t="n"/>
      <c r="P38" s="1342" t="n"/>
    </row>
    <row r="39" ht="28.5" customHeight="1" s="862">
      <c r="A39" s="1334" t="n"/>
      <c r="B39" s="1342" t="n"/>
      <c r="C39" s="1342" t="n"/>
      <c r="D39" s="1342" t="n"/>
      <c r="E39" s="1342" t="n"/>
      <c r="F39" s="1342" t="n"/>
      <c r="G39" s="1345" t="inlineStr">
        <is>
          <t>DRILLING SUPERVISOR:</t>
        </is>
      </c>
      <c r="H39" s="1346" t="n"/>
      <c r="I39" s="1347" t="inlineStr">
        <is>
          <t>IFEANYI / RASHED EASA</t>
        </is>
      </c>
      <c r="N39" s="1344" t="n"/>
      <c r="O39" s="1342" t="n"/>
      <c r="P39" s="1342" t="n"/>
    </row>
    <row r="40" ht="28.5" customHeight="1" s="862">
      <c r="A40" s="1334" t="n"/>
      <c r="B40" s="1342" t="n"/>
      <c r="C40" s="1342" t="n"/>
      <c r="D40" s="1342" t="n"/>
      <c r="E40" s="1342" t="n"/>
      <c r="F40" s="1342" t="n"/>
      <c r="G40" s="1351" t="n"/>
      <c r="H40" s="1346" t="n"/>
      <c r="I40" s="1347" t="n"/>
      <c r="J40" s="1347" t="n"/>
      <c r="K40" s="1347" t="n"/>
      <c r="L40" s="1347" t="n"/>
      <c r="M40" s="1347" t="n"/>
      <c r="N40" s="1344" t="n"/>
      <c r="O40" s="1342" t="n"/>
      <c r="P40" s="1342" t="n"/>
    </row>
    <row r="41" ht="28.5" customHeight="1" s="862">
      <c r="A41" s="1334" t="n"/>
      <c r="B41" s="1342" t="n"/>
      <c r="C41" s="1342" t="n"/>
      <c r="D41" s="1352" t="n"/>
      <c r="E41" s="1342" t="n"/>
      <c r="F41" s="1342" t="n"/>
      <c r="G41" s="1345" t="inlineStr">
        <is>
          <t>WEATHERFORD ENGINEER:</t>
        </is>
      </c>
      <c r="H41" s="1346" t="n"/>
      <c r="I41" s="1347" t="inlineStr">
        <is>
          <t xml:space="preserve">MAHMOUD ALI </t>
        </is>
      </c>
      <c r="N41" s="1344" t="n"/>
      <c r="O41" s="1342" t="n"/>
      <c r="P41" s="1342" t="n"/>
    </row>
    <row r="42" ht="28.5" customHeight="1" s="862">
      <c r="A42" s="1334" t="n"/>
      <c r="B42" s="1353" t="n"/>
      <c r="C42" s="1342" t="n"/>
      <c r="D42" s="1342" t="n"/>
      <c r="E42" s="1342" t="n"/>
      <c r="F42" s="1342" t="n"/>
      <c r="G42" s="1354" t="n"/>
      <c r="H42" s="1354" t="n"/>
      <c r="I42" s="1355" t="n"/>
      <c r="J42" s="1356" t="n"/>
      <c r="K42" s="1356" t="n"/>
      <c r="L42" s="1356" t="n"/>
      <c r="M42" s="1356" t="n"/>
      <c r="N42" s="1344" t="n"/>
      <c r="O42" s="1342" t="n"/>
      <c r="P42" s="1342" t="n"/>
    </row>
    <row r="43" ht="28.5" customHeight="1" s="862">
      <c r="A43" s="1334" t="n"/>
      <c r="B43" s="1353" t="n"/>
      <c r="C43" s="1342" t="n"/>
      <c r="D43" s="1342" t="n"/>
      <c r="E43" s="1342" t="n"/>
      <c r="F43" s="1342" t="n"/>
      <c r="G43" s="1345" t="inlineStr">
        <is>
          <t>COMPLETION CODE:</t>
        </is>
      </c>
      <c r="H43" s="1346" t="n"/>
      <c r="I43" s="1357" t="inlineStr">
        <is>
          <t xml:space="preserve">OP307/28CBB30 
</t>
        </is>
      </c>
      <c r="J43" s="1033" t="n"/>
      <c r="K43" s="1033" t="n"/>
      <c r="L43" s="1033" t="n"/>
      <c r="M43" s="1033" t="n"/>
      <c r="N43" s="1033" t="n"/>
      <c r="O43" s="1033" t="n"/>
      <c r="P43" s="1037" t="n"/>
    </row>
    <row r="44" ht="17.25" customHeight="1" s="862">
      <c r="A44" s="1334" t="n"/>
      <c r="B44" s="1353" t="n"/>
      <c r="C44" s="1342" t="n"/>
      <c r="D44" s="1342" t="n"/>
      <c r="E44" s="1356" t="n"/>
      <c r="F44" s="1356" t="n"/>
      <c r="G44" s="1356" t="n"/>
      <c r="H44" s="1356" t="n"/>
      <c r="I44" s="998" t="n"/>
      <c r="J44" s="997" t="n"/>
      <c r="K44" s="997" t="n"/>
      <c r="L44" s="997" t="n"/>
      <c r="M44" s="997" t="n"/>
      <c r="N44" s="997" t="n"/>
      <c r="O44" s="997" t="n"/>
      <c r="P44" s="1045" t="n"/>
    </row>
    <row r="45" ht="17.25" customHeight="1" s="862">
      <c r="A45" s="1334" t="n"/>
      <c r="B45" s="1353" t="n"/>
      <c r="C45" s="1342" t="n"/>
      <c r="D45" s="1342" t="n"/>
      <c r="E45" s="1356" t="n"/>
      <c r="F45" s="1356" t="n"/>
      <c r="G45" s="1356" t="n"/>
      <c r="H45" s="1356" t="n"/>
      <c r="I45" s="1356" t="n"/>
      <c r="J45" s="1356" t="n"/>
      <c r="K45" s="1356" t="n"/>
      <c r="L45" s="1356" t="n"/>
      <c r="M45" s="1356" t="n"/>
      <c r="N45" s="1344" t="n"/>
      <c r="O45" s="1342" t="n"/>
      <c r="P45" s="1342" t="n"/>
    </row>
    <row r="46" ht="12.75" customHeight="1" s="862">
      <c r="A46" s="1358" t="n"/>
      <c r="B46" s="1359" t="n"/>
      <c r="C46" s="1360" t="n"/>
      <c r="D46" s="1360" t="n"/>
      <c r="E46" s="1360" t="n"/>
      <c r="F46" s="1360" t="n"/>
      <c r="G46" s="1360" t="n"/>
      <c r="H46" s="1360" t="n"/>
      <c r="I46" s="1360" t="n"/>
      <c r="J46" s="1360" t="n"/>
      <c r="K46" s="1360" t="n"/>
      <c r="L46" s="1360" t="n"/>
      <c r="M46" s="1360" t="n"/>
      <c r="N46" s="1361"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117"/>
  <sheetViews>
    <sheetView showFormulas="0" showGridLines="0" showRowColHeaders="1" showZeros="1" rightToLeft="0" tabSelected="0" showOutlineSymbols="1" defaultGridColor="1" view="pageBreakPreview" topLeftCell="A79" colorId="64" zoomScale="140" zoomScaleNormal="145" zoomScalePageLayoutView="140" workbookViewId="0">
      <selection pane="topLeft" activeCell="D95" activeCellId="1" sqref="A11:S69 D95"/>
    </sheetView>
  </sheetViews>
  <sheetFormatPr baseColWidth="8" defaultColWidth="8.59765625" defaultRowHeight="14.25" customHeight="0" zeroHeight="0" outlineLevelRow="0"/>
  <cols>
    <col width="5.66" customWidth="1" style="1362" min="1" max="1"/>
    <col width="1.44" customWidth="1" style="910" min="2" max="2"/>
    <col width="12.55" customWidth="1" style="910" min="3" max="3"/>
    <col width="14.11" customWidth="1" style="910" min="4" max="4"/>
    <col width="16" customWidth="1" style="910" min="5" max="5"/>
    <col width="11.78" customWidth="1" style="910" min="6" max="6"/>
    <col width="8.890000000000001" customWidth="1" style="910" min="7" max="7"/>
    <col width="9.56" customWidth="1" style="910" min="8" max="8"/>
    <col width="10.22" customWidth="1" style="910" min="9" max="10"/>
    <col width="15.33" customWidth="1" style="910" min="11" max="11"/>
    <col width="50" customWidth="1" style="910" min="12" max="12"/>
  </cols>
  <sheetData>
    <row r="1" ht="15" customFormat="1" customHeight="1" s="1363">
      <c r="A1" s="1364" t="n"/>
      <c r="B1" s="1365" t="inlineStr">
        <is>
          <t xml:space="preserve">RUNNING PROCEDURE : </t>
        </is>
      </c>
      <c r="C1" s="1366" t="n"/>
      <c r="D1" s="1366" t="n"/>
      <c r="F1" s="1367" t="n"/>
      <c r="G1" s="1367" t="n"/>
      <c r="H1" s="1367" t="n"/>
      <c r="I1" s="1367" t="n"/>
      <c r="J1" s="1367" t="n"/>
      <c r="K1" s="1368" t="n"/>
      <c r="M1" s="1369" t="n"/>
      <c r="N1" s="1369" t="n"/>
      <c r="O1" s="1369" t="n"/>
      <c r="P1" s="1369" t="n"/>
      <c r="Q1" s="1369" t="n"/>
      <c r="R1" s="1369" t="n"/>
      <c r="S1" s="1369" t="n"/>
      <c r="T1" s="1369" t="n"/>
      <c r="U1" s="1369" t="n"/>
    </row>
    <row r="2" ht="24" customFormat="1" customHeight="1" s="1363">
      <c r="A2" s="1364" t="n"/>
      <c r="B2" s="1370" t="n"/>
      <c r="C2" s="1371" t="inlineStr">
        <is>
          <t>Well  :</t>
        </is>
      </c>
      <c r="D2" s="1372">
        <f>'MS2'!I9</f>
        <v/>
      </c>
      <c r="E2" s="1371" t="inlineStr">
        <is>
          <t>Rig   :</t>
        </is>
      </c>
      <c r="F2" s="1373">
        <f>'MS2'!I8</f>
        <v/>
      </c>
      <c r="G2" s="1374" t="n"/>
      <c r="H2" s="1374" t="n"/>
      <c r="I2" s="1374" t="n"/>
      <c r="J2" s="1374" t="n"/>
      <c r="M2" s="1375" t="inlineStr">
        <is>
          <t>Annulus Test</t>
        </is>
      </c>
      <c r="N2" s="1375" t="inlineStr">
        <is>
          <t>Hanger Test</t>
        </is>
      </c>
      <c r="O2" s="1375" t="inlineStr">
        <is>
          <t>CL Test</t>
        </is>
      </c>
      <c r="P2" s="1376" t="n"/>
      <c r="Q2" s="1376" t="inlineStr">
        <is>
          <t xml:space="preserve">PRESSURE UP TBG TO </t>
        </is>
      </c>
      <c r="R2" s="1376" t="inlineStr">
        <is>
          <t xml:space="preserve"> PSI / 10 MINS TO SET PKR, INCREASE TO </t>
        </is>
      </c>
      <c r="S2" s="1376" t="inlineStr">
        <is>
          <t xml:space="preserve"> / 30 MINS TO TEST TBG</t>
        </is>
      </c>
      <c r="T2" s="1376" t="n"/>
      <c r="U2" s="1376" t="n"/>
      <c r="V2" s="1377" t="n"/>
    </row>
    <row r="3" ht="28.5" customFormat="1" customHeight="1" s="1363">
      <c r="A3" s="1364" t="n"/>
      <c r="B3" s="1370" t="n"/>
      <c r="C3" s="1371" t="inlineStr">
        <is>
          <t>CWLE :</t>
        </is>
      </c>
      <c r="D3" s="1365" t="inlineStr">
        <is>
          <t xml:space="preserve">MAHMOUD </t>
        </is>
      </c>
      <c r="E3" s="1371" t="inlineStr">
        <is>
          <t>DS   :</t>
        </is>
      </c>
      <c r="F3" s="1373" t="n"/>
      <c r="G3" s="1370" t="n"/>
      <c r="H3" s="1370" t="n"/>
      <c r="I3" s="1370" t="n"/>
      <c r="J3" s="1370" t="n"/>
      <c r="M3" s="1375" t="inlineStr">
        <is>
          <t>3500 PSI</t>
        </is>
      </c>
      <c r="N3" s="1375" t="inlineStr">
        <is>
          <t>5000 PSI</t>
        </is>
      </c>
      <c r="O3" s="1375" t="inlineStr">
        <is>
          <t>5000 PSI</t>
        </is>
      </c>
      <c r="P3" s="1376" t="n"/>
      <c r="Q3" s="1376" t="inlineStr">
        <is>
          <t xml:space="preserve">PRESSURE TEST ANNULUS TO </t>
        </is>
      </c>
      <c r="R3" s="1376" t="inlineStr">
        <is>
          <t xml:space="preserve"> / 30 MINS. OBSERVE TBG FOR RETURN</t>
        </is>
      </c>
      <c r="S3" s="1376" t="n"/>
      <c r="T3" s="1376" t="n"/>
      <c r="U3" s="1376" t="n"/>
      <c r="V3" s="1377" t="n"/>
    </row>
    <row r="4" ht="14.25" customFormat="1" customHeight="1" s="1363">
      <c r="A4" s="1364" t="n"/>
      <c r="C4" s="1378" t="n"/>
      <c r="D4" s="1379" t="n"/>
      <c r="E4" s="1380" t="n"/>
      <c r="F4" s="1381" t="n"/>
      <c r="G4" s="1381" t="n"/>
      <c r="H4" s="1381" t="n"/>
      <c r="I4" s="1381" t="n"/>
      <c r="J4" s="1381" t="n"/>
      <c r="K4" s="1381" t="n"/>
      <c r="M4" s="1376" t="n"/>
      <c r="N4" s="1376" t="n"/>
      <c r="O4" s="1376" t="n"/>
      <c r="P4" s="1376" t="n"/>
      <c r="Q4" s="1376" t="n"/>
      <c r="R4" s="1376" t="n"/>
      <c r="S4" s="1376" t="n"/>
      <c r="T4" s="1376" t="n"/>
      <c r="U4" s="1376" t="n"/>
      <c r="V4" s="1377" t="n"/>
    </row>
    <row r="5" ht="17.25" customFormat="1" customHeight="1" s="1363">
      <c r="A5" s="1382" t="n"/>
      <c r="B5" s="1383" t="n"/>
      <c r="C5" s="1384" t="inlineStr">
        <is>
          <t xml:space="preserve">NOTES : </t>
        </is>
      </c>
      <c r="D5" s="1383" t="n"/>
      <c r="E5" s="1383" t="n"/>
      <c r="F5" s="1383" t="n"/>
      <c r="G5" s="1383" t="n"/>
      <c r="H5" s="1383" t="n"/>
      <c r="I5" s="1383" t="n"/>
      <c r="J5" s="1383" t="n"/>
      <c r="K5" s="1383" t="n"/>
      <c r="L5" s="1383" t="n"/>
      <c r="M5" s="1369" t="n"/>
      <c r="N5" s="1369" t="n"/>
      <c r="O5" s="1369" t="n"/>
      <c r="P5" s="1369" t="n"/>
      <c r="Q5" s="1369" t="n"/>
      <c r="R5" s="1369" t="n"/>
      <c r="S5" s="1369" t="n"/>
      <c r="T5" s="1369" t="n"/>
      <c r="U5" s="1369" t="n"/>
    </row>
    <row r="6" ht="17.25" customFormat="1" customHeight="1" s="1363">
      <c r="A6" s="1385" t="n">
        <v>1</v>
      </c>
      <c r="B6" s="1386" t="inlineStr">
        <is>
          <t xml:space="preserve"> USE FILTRATION UNIT FOR COMPLETION FLUID. COMPLETION FLUID TO BE USED ALL THE TIME.</t>
        </is>
      </c>
      <c r="M6" s="1387" t="n"/>
      <c r="N6" s="1369" t="n"/>
      <c r="O6" s="1369" t="n"/>
      <c r="P6" s="1369" t="n"/>
      <c r="Q6" s="1369" t="n"/>
      <c r="R6" s="1369" t="n"/>
      <c r="S6" s="1369" t="n"/>
      <c r="T6" s="1369" t="n"/>
      <c r="U6" s="1369" t="n"/>
    </row>
    <row r="7" ht="17.25" customFormat="1" customHeight="1" s="1363">
      <c r="A7" s="1385" t="n">
        <v>2</v>
      </c>
      <c r="B7" s="1386" t="inlineStr">
        <is>
          <t>ENSURE THE WELL HOLE IS CENTRALLY ALIGNED BEFORE RIH COMPLETION</t>
        </is>
      </c>
      <c r="M7" s="1387" t="n"/>
      <c r="N7" s="1369" t="n"/>
      <c r="O7" s="1369" t="n"/>
      <c r="P7" s="1369" t="n"/>
      <c r="Q7" s="1369" t="n"/>
      <c r="R7" s="1369" t="n"/>
      <c r="S7" s="1369" t="n"/>
      <c r="T7" s="1369" t="n"/>
      <c r="U7" s="1369" t="n"/>
    </row>
    <row r="8" ht="17.25" customFormat="1" customHeight="1" s="1363">
      <c r="A8" s="1385" t="n">
        <v>3</v>
      </c>
      <c r="B8" s="1386" t="inlineStr">
        <is>
          <t>SAFETY VALVE WITH REQUIRED X-OVERS TO BE READY AND AVAILABLE ON THE RIG FLOOR FOR USE IN DUE TIME</t>
        </is>
      </c>
      <c r="M8" s="1387" t="n"/>
      <c r="N8" s="1369" t="n"/>
      <c r="O8" s="1369" t="n"/>
      <c r="P8" s="1369" t="n"/>
      <c r="Q8" s="1369" t="n"/>
      <c r="R8" s="1369" t="n"/>
      <c r="S8" s="1369" t="n"/>
      <c r="T8" s="1369" t="n"/>
      <c r="U8" s="1369" t="n"/>
    </row>
    <row r="9" ht="17.25" customFormat="1" customHeight="1" s="1363">
      <c r="A9" s="1385" t="n">
        <v>4</v>
      </c>
      <c r="B9" s="1386" t="inlineStr">
        <is>
          <t>USE SAFETY CLAMP ON STRING TILL REQUIRED STRING WEIGHT IS ACHIEVED  TILL 20K +-</t>
        </is>
      </c>
      <c r="M9" s="1387" t="n"/>
      <c r="N9" s="1369" t="n"/>
      <c r="O9" s="1369" t="n"/>
      <c r="P9" s="1369" t="n"/>
      <c r="Q9" s="1369" t="n"/>
      <c r="R9" s="1369" t="n"/>
      <c r="S9" s="1369" t="n"/>
      <c r="T9" s="1369" t="n"/>
      <c r="U9" s="1369" t="n"/>
    </row>
    <row r="10" ht="17.25" customFormat="1" customHeight="1" s="1363">
      <c r="A10" s="1385" t="n">
        <v>5</v>
      </c>
      <c r="B10" s="1386" t="inlineStr">
        <is>
          <t>IF ANY TUBING DAMAGE (DIRECTLY REPLACE), IF FOUND OVER TORQUE - COMMUNICATE W/ THREAD INSPECTOR</t>
        </is>
      </c>
      <c r="M10" s="1387" t="n"/>
      <c r="N10" s="1369" t="n"/>
      <c r="O10" s="1369" t="n"/>
      <c r="P10" s="1369" t="n"/>
      <c r="Q10" s="1369" t="n"/>
      <c r="R10" s="1369" t="n"/>
      <c r="S10" s="1369" t="n"/>
      <c r="T10" s="1369" t="n"/>
      <c r="U10" s="1369" t="n"/>
    </row>
    <row r="11" ht="17.25" customFormat="1" customHeight="1" s="1363">
      <c r="A11" s="1385" t="n">
        <v>6</v>
      </c>
      <c r="B11" s="1386" t="inlineStr">
        <is>
          <t xml:space="preserve"> COVER THE HOLE WHILE PERFORMING ANY TASK OVER THE ROTARY</t>
        </is>
      </c>
      <c r="M11" s="1387" t="n"/>
      <c r="N11" s="1369" t="n"/>
      <c r="O11" s="1369" t="n"/>
      <c r="P11" s="1369" t="n"/>
      <c r="Q11" s="1369" t="n"/>
      <c r="R11" s="1369" t="n"/>
      <c r="S11" s="1369" t="n"/>
      <c r="T11" s="1369" t="n"/>
      <c r="U11" s="1369" t="n"/>
    </row>
    <row r="12" ht="17.25" customFormat="1" customHeight="1" s="1363">
      <c r="A12" s="1385" t="n">
        <v>7</v>
      </c>
      <c r="B12" s="1386" t="inlineStr">
        <is>
          <t>AFTER M/UP TRSV, CARE SHOULD BE TAKEN WHILE SETTING SLIPS NOT TO CRUSH CONTROL LINE</t>
        </is>
      </c>
      <c r="M12" s="1387" t="n"/>
      <c r="N12" s="1369" t="n"/>
      <c r="O12" s="1369" t="n"/>
      <c r="P12" s="1369" t="n"/>
      <c r="Q12" s="1369" t="n"/>
      <c r="R12" s="1369" t="n"/>
      <c r="S12" s="1369" t="n"/>
      <c r="T12" s="1369" t="n"/>
      <c r="U12" s="1369" t="n"/>
    </row>
    <row r="13" ht="17.25" customFormat="1" customHeight="1" s="1363">
      <c r="A13" s="1385" t="n">
        <v>8</v>
      </c>
      <c r="B13" s="1386" t="inlineStr">
        <is>
          <t>USE THE MINIMUM AMOUNT OF PIPE DOPE WITH PAINT BRUSH AND ONLY IN PIN SIDE</t>
        </is>
      </c>
      <c r="M13" s="1387" t="n"/>
      <c r="N13" s="1369" t="n"/>
      <c r="O13" s="1369" t="n"/>
      <c r="P13" s="1369" t="n"/>
      <c r="Q13" s="1369" t="n"/>
      <c r="R13" s="1369" t="n"/>
      <c r="S13" s="1369" t="n"/>
      <c r="T13" s="1369" t="n"/>
      <c r="U13" s="1369" t="n"/>
    </row>
    <row r="14" ht="17.25" customFormat="1" customHeight="1" s="1363">
      <c r="A14" s="1385" t="n">
        <v>9</v>
      </c>
      <c r="B14" s="1386" t="inlineStr">
        <is>
          <t>WELLHEAD ENGR TO ENSURE THE LOCKDOWN SCREWS RETRACTED BEFORE START RIH.</t>
        </is>
      </c>
      <c r="M14" s="1387" t="n"/>
      <c r="N14" s="1369" t="n"/>
      <c r="O14" s="1369" t="n"/>
      <c r="P14" s="1369" t="n"/>
      <c r="Q14" s="1369" t="n"/>
      <c r="R14" s="1369" t="n"/>
      <c r="S14" s="1369" t="n"/>
      <c r="T14" s="1369" t="n"/>
      <c r="U14" s="1369" t="n"/>
    </row>
    <row r="15" ht="14.25" customFormat="1" customHeight="1" s="1363">
      <c r="A15" s="1388" t="inlineStr">
        <is>
          <t xml:space="preserve">        IMPORTANT NOTES:-   </t>
        </is>
      </c>
      <c r="B15" s="1033" t="n"/>
      <c r="C15" s="1033" t="n"/>
      <c r="D15" s="1033" t="n"/>
      <c r="E15" s="1033" t="n"/>
      <c r="F15" s="1033" t="n"/>
      <c r="G15" s="1033" t="n"/>
      <c r="H15" s="1033" t="n"/>
      <c r="I15" s="1033" t="n"/>
      <c r="J15" s="1033" t="n"/>
      <c r="K15" s="1033" t="n"/>
      <c r="L15" s="1033" t="n"/>
      <c r="M15" s="1387" t="n"/>
      <c r="N15" s="1369" t="n"/>
      <c r="O15" s="1369" t="n"/>
      <c r="P15" s="1369" t="n"/>
      <c r="Q15" s="1369" t="n"/>
      <c r="R15" s="1369" t="n"/>
      <c r="S15" s="1369" t="n"/>
      <c r="T15" s="1369" t="n"/>
      <c r="U15" s="1369" t="n"/>
    </row>
    <row r="16" ht="10.5" customFormat="1" customHeight="1" s="1363">
      <c r="A16" s="998" t="n"/>
      <c r="B16" s="997" t="n"/>
      <c r="C16" s="997" t="n"/>
      <c r="D16" s="997" t="n"/>
      <c r="E16" s="997" t="n"/>
      <c r="F16" s="997" t="n"/>
      <c r="G16" s="997" t="n"/>
      <c r="H16" s="997" t="n"/>
      <c r="I16" s="997" t="n"/>
      <c r="J16" s="997" t="n"/>
      <c r="K16" s="997" t="n"/>
      <c r="L16" s="997" t="n"/>
      <c r="M16" s="1387" t="n"/>
      <c r="N16" s="1369" t="n"/>
      <c r="O16" s="1369" t="n"/>
      <c r="P16" s="1369" t="n"/>
      <c r="Q16" s="1369" t="n"/>
      <c r="R16" s="1369" t="n"/>
      <c r="S16" s="1369" t="n"/>
      <c r="T16" s="1369" t="n"/>
      <c r="U16" s="1369" t="n"/>
    </row>
    <row r="17" ht="82.5" customFormat="1" customHeight="1" s="1363">
      <c r="A17" s="1389" t="inlineStr">
        <is>
          <t>NO FILL-UP BY MUD PUMP / SUPERCHARGER.USE  HOSE TO FILL THE COMPLETION STRING, AND ENSURE THE TUBING IS FULL BEFORE PROCEEDING WITH RIH FOR THE FIRST 5 JOINTS. AFTER EVERY 10 JOINTS, PERFORM FILL-UP.</t>
        </is>
      </c>
      <c r="B17" s="866" t="n"/>
      <c r="C17" s="866" t="n"/>
      <c r="D17" s="866" t="n"/>
      <c r="E17" s="866" t="n"/>
      <c r="F17" s="866" t="n"/>
      <c r="G17" s="866" t="n"/>
      <c r="H17" s="866" t="n"/>
      <c r="I17" s="866" t="n"/>
      <c r="J17" s="866" t="n"/>
      <c r="K17" s="866" t="n"/>
      <c r="L17" s="866" t="n"/>
      <c r="M17" s="1368" t="n"/>
      <c r="N17" s="1369" t="n"/>
      <c r="O17" s="1369" t="n"/>
      <c r="P17" s="1369" t="n"/>
      <c r="Q17" s="1369" t="n"/>
      <c r="R17" s="1369" t="n"/>
      <c r="S17" s="1369" t="n"/>
      <c r="T17" s="1369" t="n"/>
      <c r="U17" s="1369" t="n"/>
    </row>
    <row r="18" ht="21" customFormat="1" customHeight="1" s="1363">
      <c r="A18" s="1390" t="inlineStr">
        <is>
          <t>●  DRILLER TO MAKE SURE KEEP ANNULUS FILLED ALL THE TIME BY RUNNING FROM TRIP TANK	&amp; TRIP SHEET FILLED</t>
        </is>
      </c>
      <c r="B18" s="1033" t="n"/>
      <c r="C18" s="1033" t="n"/>
      <c r="D18" s="1033" t="n"/>
      <c r="E18" s="1033" t="n"/>
      <c r="F18" s="1033" t="n"/>
      <c r="G18" s="1033" t="n"/>
      <c r="H18" s="1033" t="n"/>
      <c r="I18" s="1033" t="n"/>
      <c r="J18" s="1033" t="n"/>
      <c r="K18" s="1033" t="n"/>
      <c r="L18" s="1033" t="n"/>
      <c r="M18" s="1368" t="n"/>
      <c r="N18" s="1369" t="n"/>
      <c r="O18" s="1369" t="n"/>
      <c r="P18" s="1369" t="n"/>
      <c r="Q18" s="1369" t="n"/>
      <c r="R18" s="1369" t="n"/>
      <c r="S18" s="1369" t="n"/>
      <c r="T18" s="1369" t="n"/>
      <c r="U18" s="1369" t="n"/>
    </row>
    <row r="19" ht="27" customFormat="1" customHeight="1" s="1363">
      <c r="A19" s="1391" t="inlineStr">
        <is>
          <t>● BEFORE FILLING UP THE TUBING, MAKE SURE TO GET CLEAR BRINE ON THE RIG FLOOR AND FLUSH THE SURFACE LINES. DO NOT PROCEED UNTIL CLEAR BRINE IS OBSERVED ON THE RIG FLOOR</t>
        </is>
      </c>
      <c r="M19" s="1368" t="n"/>
      <c r="N19" s="1369" t="n"/>
      <c r="O19" s="1369" t="n"/>
      <c r="P19" s="1369" t="n"/>
      <c r="Q19" s="1369" t="n"/>
      <c r="R19" s="1369" t="n"/>
      <c r="S19" s="1369" t="n"/>
      <c r="T19" s="1369" t="n"/>
      <c r="U19" s="1369" t="n"/>
    </row>
    <row r="20" ht="19.5" customFormat="1" customHeight="1" s="1363">
      <c r="A20" s="1391" t="inlineStr">
        <is>
          <t xml:space="preserve">●  NO SLACK OFF WEIGHT ON PACKER  MORE THAN 3 TO 4KIPS . NOTE:- CONTROL RUNNING SPEED INSIDE 7" CASING DURING RIH,   NO JERKING &amp; ROTATION.			                                      		                                                           </t>
        </is>
      </c>
      <c r="M20" s="1368" t="n"/>
      <c r="N20" s="1369" t="n"/>
      <c r="O20" s="1369" t="n"/>
      <c r="P20" s="1369" t="n"/>
      <c r="Q20" s="1369" t="n"/>
      <c r="R20" s="1369" t="n"/>
      <c r="S20" s="1369" t="n"/>
      <c r="T20" s="1369" t="n"/>
      <c r="U20" s="1369" t="n"/>
    </row>
    <row r="21" ht="30.75" customFormat="1" customHeight="1" s="1363">
      <c r="A21" s="1391" t="inlineStr">
        <is>
          <t>● EXTRA CARE TO BE TAKEN AT TOL TO PREVENT IMPACT BECAUSE IF IMPACTED THE SUDDEN STOP CAN CAUSE A HAMMER EFFECT ON THE TOOL RESULTING IN A POSSIBLE COMPLETE CYCLE   . NO JERKING ALLOWED CONTROL RUNNING SPEED</t>
        </is>
      </c>
      <c r="M21" s="1368" t="n"/>
      <c r="N21" s="1369" t="n"/>
      <c r="O21" s="1369" t="n"/>
      <c r="P21" s="1369" t="n"/>
      <c r="Q21" s="1369" t="n"/>
      <c r="R21" s="1369" t="n"/>
      <c r="S21" s="1369" t="n"/>
      <c r="T21" s="1369" t="n"/>
      <c r="U21" s="1369" t="n"/>
    </row>
    <row r="22" ht="17.25" customFormat="1" customHeight="1" s="1363">
      <c r="A22" s="1392" t="inlineStr">
        <is>
          <t xml:space="preserve"> ●  IN A POSSIBLE COMPLETE CYCLE  NO JERKING ALLOWED CONTROL RUNNING SPEED    in 9-5/8" 60 FT /MIN )   in 7"   (45 FT/MIN)  LINER REDUCE RUNNING SPEED  </t>
        </is>
      </c>
      <c r="M22" s="1368" t="n"/>
      <c r="N22" s="1369" t="n"/>
      <c r="O22" s="1369" t="n"/>
      <c r="P22" s="1369" t="n"/>
      <c r="Q22" s="1369" t="n"/>
      <c r="R22" s="1369" t="n"/>
      <c r="S22" s="1369" t="n"/>
      <c r="T22" s="1369" t="n"/>
      <c r="U22" s="1369" t="n"/>
    </row>
    <row r="23" ht="31.5" customFormat="1" customHeight="1" s="1363">
      <c r="A23" s="1393" t="inlineStr">
        <is>
          <t>CAUTION: RUNNING SPEED OF THE PACKER IS LIMITED TO MAXIMUM RATE OF A 60-FT STAND/30 SEC. EXCEEDING THE SPECIFIED RUNNING SPEED MAY CAUSE DAMAGE TO THE PACKER. REDUCE RUNNING SPEED WHILE PASSING THE PACKER THROUGH RESTRICTIONS</t>
        </is>
      </c>
      <c r="M23" s="1368" t="n"/>
      <c r="N23" s="1369" t="n"/>
      <c r="O23" s="1369" t="n"/>
      <c r="P23" s="1369" t="n"/>
      <c r="Q23" s="1369" t="n"/>
      <c r="R23" s="1369" t="n"/>
      <c r="S23" s="1369" t="n"/>
      <c r="T23" s="1369" t="n"/>
      <c r="U23" s="1369" t="n"/>
    </row>
    <row r="24" ht="18" customFormat="1" customHeight="1" s="1363">
      <c r="A24" s="1394" t="n"/>
      <c r="M24" s="1368" t="n"/>
      <c r="N24" s="1369" t="n"/>
      <c r="O24" s="1369" t="n"/>
      <c r="P24" s="1369" t="n"/>
      <c r="Q24" s="1369" t="n"/>
      <c r="R24" s="1369" t="n"/>
      <c r="S24" s="1369" t="n"/>
      <c r="T24" s="1369" t="n"/>
      <c r="U24" s="1369" t="n"/>
    </row>
    <row r="25" ht="18" customFormat="1" customHeight="1" s="1363">
      <c r="A25" s="1395" t="inlineStr">
        <is>
          <t xml:space="preserve"> ● WHILE PICK UP THE GAS LIFT MANDREL EXTRA CARE SHOULD BE TAKEN AS THERE IS EXTERNAL DVX CHECK VALVES INSTALLED</t>
        </is>
      </c>
      <c r="M25" s="1368" t="n"/>
      <c r="N25" s="1369" t="n"/>
      <c r="O25" s="1369" t="n"/>
      <c r="P25" s="1369" t="n"/>
      <c r="Q25" s="1369" t="n"/>
      <c r="R25" s="1369" t="n"/>
      <c r="S25" s="1369" t="n"/>
      <c r="T25" s="1369" t="n"/>
      <c r="U25" s="1369" t="n"/>
    </row>
    <row r="26" ht="18" customFormat="1" customHeight="1" s="1363">
      <c r="A26" s="1395" t="inlineStr">
        <is>
          <t xml:space="preserve">●  REMOVE WEAR BUSHING AND CHECK WB CONDITION.  </t>
        </is>
      </c>
      <c r="M26" s="1368" t="n"/>
      <c r="N26" s="1369" t="n"/>
      <c r="O26" s="1369" t="n"/>
      <c r="P26" s="1369" t="n"/>
      <c r="Q26" s="1369" t="n"/>
      <c r="R26" s="1369" t="n"/>
      <c r="S26" s="1369" t="n"/>
      <c r="T26" s="1369" t="n"/>
      <c r="U26" s="1369" t="n"/>
    </row>
    <row r="27" ht="15" customFormat="1" customHeight="1" s="1363">
      <c r="A27" s="1395" t="inlineStr">
        <is>
          <t xml:space="preserve">●  PERFORM PJSM (PRE JOB SAFETY MEETING)- FOR TRS RIG UP </t>
        </is>
      </c>
      <c r="M27" s="1368" t="n"/>
      <c r="N27" s="1369" t="n"/>
      <c r="O27" s="1369" t="n"/>
      <c r="P27" s="1369" t="n"/>
      <c r="Q27" s="1369" t="n"/>
      <c r="R27" s="1369" t="n"/>
      <c r="S27" s="1369" t="n"/>
      <c r="T27" s="1369" t="n"/>
      <c r="U27" s="1369" t="n"/>
    </row>
    <row r="28" ht="15" customFormat="1" customHeight="1" s="1396">
      <c r="A28" s="1397" t="n"/>
      <c r="B28" s="1398" t="n"/>
      <c r="C28" s="1399" t="n"/>
      <c r="D28" s="1400" t="n"/>
      <c r="E28" s="1400" t="n"/>
      <c r="F28" s="1400" t="n"/>
      <c r="G28" s="1400" t="n"/>
      <c r="H28" s="1400" t="n"/>
      <c r="I28" s="1400" t="n"/>
      <c r="J28" s="1400" t="n"/>
      <c r="K28" s="1400" t="n"/>
      <c r="L28" s="1400" t="n"/>
      <c r="M28" s="1401" t="n"/>
      <c r="N28" s="1401" t="n"/>
      <c r="O28" s="1401" t="n"/>
      <c r="P28" s="1401" t="n"/>
      <c r="Q28" s="1401" t="n"/>
      <c r="R28" s="1401" t="n"/>
      <c r="S28" s="1401" t="n"/>
      <c r="T28" s="1401" t="n"/>
      <c r="U28" s="1401" t="n"/>
    </row>
    <row r="29" ht="15" customFormat="1" customHeight="1" s="1402">
      <c r="A29" s="1403" t="inlineStr">
        <is>
          <t xml:space="preserve">1) </t>
        </is>
      </c>
      <c r="B29" s="1404" t="n"/>
      <c r="C29" s="1405" t="inlineStr">
        <is>
          <t>P/U ASSY</t>
        </is>
      </c>
      <c r="D29" s="1406" t="inlineStr">
        <is>
          <t>A</t>
        </is>
      </c>
      <c r="E29" s="1405" t="n"/>
      <c r="F29" s="1407" t="inlineStr">
        <is>
          <t xml:space="preserve">WIRELINE ENTRY GUIDE       SN: 16339547-10-008              PN 2996481 </t>
        </is>
      </c>
      <c r="G29" s="1407" t="n"/>
      <c r="H29" s="1407" t="n"/>
      <c r="I29" s="1407" t="n"/>
      <c r="J29" s="1405" t="n"/>
      <c r="K29" s="1405" t="n"/>
      <c r="L29" s="1405" t="n"/>
    </row>
    <row r="30" ht="11.25" customFormat="1" customHeight="1" s="1396">
      <c r="A30" s="1397" t="n"/>
      <c r="B30" s="1398" t="n"/>
      <c r="C30" s="1399" t="n"/>
      <c r="D30" s="1408" t="n"/>
      <c r="E30" s="1399" t="n"/>
      <c r="F30" s="1409" t="n"/>
      <c r="G30" s="1409" t="n"/>
      <c r="H30" s="1409" t="n"/>
      <c r="I30" s="1409" t="n"/>
      <c r="J30" s="1400" t="n"/>
      <c r="K30" s="1400" t="n"/>
      <c r="L30" s="1400" t="n"/>
      <c r="M30" s="1401" t="n"/>
    </row>
    <row r="31" ht="15" customFormat="1" customHeight="1" s="1396">
      <c r="A31" s="1397" t="inlineStr">
        <is>
          <t xml:space="preserve">2) </t>
        </is>
      </c>
      <c r="B31" s="1398" t="n"/>
      <c r="C31" s="1399" t="inlineStr">
        <is>
          <t>M/U TBG JT</t>
        </is>
      </c>
      <c r="D31" s="1410" t="n">
        <v>5</v>
      </c>
      <c r="E31" s="1399" t="n"/>
      <c r="F31" s="1400" t="n"/>
      <c r="G31" s="1411" t="inlineStr">
        <is>
          <t>66</t>
        </is>
      </c>
      <c r="H31" s="1412">
        <f>G31-D31+1</f>
        <v/>
      </c>
      <c r="I31" s="1413" t="inlineStr">
        <is>
          <t>3-1/2" TUBING 9.2 LB/FT ALLOY 28 TSH BL</t>
        </is>
      </c>
      <c r="L31" s="1400" t="n"/>
      <c r="M31" s="1401" t="n"/>
    </row>
    <row r="32" ht="15" customFormat="1" customHeight="1" s="1396">
      <c r="A32" s="1397" t="n"/>
      <c r="B32" s="1398" t="n"/>
      <c r="C32" s="1399" t="n"/>
      <c r="D32" s="1414" t="n"/>
      <c r="E32" s="1399" t="n"/>
      <c r="F32" s="1400" t="n"/>
      <c r="G32" s="1415" t="n"/>
      <c r="H32" s="1416" t="n"/>
      <c r="I32" s="1408" t="n"/>
      <c r="J32" s="1417" t="n"/>
      <c r="K32" s="1418" t="n"/>
      <c r="L32" s="1037" t="n"/>
      <c r="M32" s="1401" t="n"/>
    </row>
    <row r="33" ht="15" customFormat="1" customHeight="1" s="1396">
      <c r="A33" s="1397" t="inlineStr">
        <is>
          <t>3)</t>
        </is>
      </c>
      <c r="B33" s="1398" t="n"/>
      <c r="C33" s="1399" t="inlineStr">
        <is>
          <t>P/U ASSY</t>
        </is>
      </c>
      <c r="D33" s="1419" t="inlineStr">
        <is>
          <t>SP-1</t>
        </is>
      </c>
      <c r="E33" s="1399" t="inlineStr">
        <is>
          <t xml:space="preserve"> &amp; RIH</t>
        </is>
      </c>
      <c r="F33" s="1408" t="inlineStr">
        <is>
          <t xml:space="preserve">SWELL PAKER </t>
        </is>
      </c>
      <c r="J33" s="1420" t="n"/>
      <c r="K33" s="1084" t="n"/>
      <c r="L33" s="975" t="n"/>
      <c r="M33" s="1401" t="n"/>
    </row>
    <row r="34" ht="15" customFormat="1" customHeight="1" s="1396">
      <c r="A34" s="1397" t="n"/>
      <c r="B34" s="1398" t="n"/>
      <c r="C34" s="1399" t="n"/>
      <c r="D34" s="1408" t="n"/>
      <c r="E34" s="1399" t="n"/>
      <c r="F34" s="1408" t="n"/>
      <c r="G34" s="1408" t="n"/>
      <c r="H34" s="1408" t="n"/>
      <c r="I34" s="1408" t="n"/>
      <c r="J34" s="1421" t="n"/>
      <c r="K34" s="998" t="n"/>
      <c r="L34" s="1045" t="n"/>
      <c r="M34" s="1401" t="n"/>
    </row>
    <row r="35" ht="15" customFormat="1" customHeight="1" s="1396">
      <c r="A35" s="1397" t="inlineStr">
        <is>
          <t>4)</t>
        </is>
      </c>
      <c r="B35" s="1398" t="n"/>
      <c r="C35" s="1399" t="inlineStr">
        <is>
          <t>M/U TBG JT</t>
        </is>
      </c>
      <c r="D35" s="1410" t="n">
        <v>67</v>
      </c>
      <c r="E35" s="1399" t="n"/>
      <c r="F35" s="1400" t="n"/>
      <c r="G35" s="1411" t="inlineStr">
        <is>
          <t>145</t>
        </is>
      </c>
      <c r="H35" s="1412">
        <f>G35-D35+1</f>
        <v/>
      </c>
      <c r="I35" s="1413" t="inlineStr">
        <is>
          <t>3-1/2" TUBING 9.2 LB/FT ALLOY 28 TSH BL</t>
        </is>
      </c>
      <c r="L35" s="1400" t="n"/>
      <c r="M35" s="1401" t="n"/>
    </row>
    <row r="36" ht="15" customFormat="1" customHeight="1" s="1396">
      <c r="A36" s="1422" t="n"/>
      <c r="B36" s="1400" t="n"/>
      <c r="C36" s="1423" t="n"/>
      <c r="D36" s="1423" t="n"/>
      <c r="E36" s="1423" t="n"/>
      <c r="F36" s="1423" t="n"/>
      <c r="G36" s="1423" t="n"/>
      <c r="H36" s="1423" t="n"/>
      <c r="I36" s="1423" t="n"/>
      <c r="J36" s="1423" t="n"/>
      <c r="K36" s="1423" t="n"/>
      <c r="L36" s="1400" t="n"/>
      <c r="M36" s="1424" t="n"/>
    </row>
    <row r="37" ht="18" customFormat="1" customHeight="1" s="1396">
      <c r="A37" s="1397" t="inlineStr">
        <is>
          <t>5)</t>
        </is>
      </c>
      <c r="B37" s="1398" t="n"/>
      <c r="C37" s="1399" t="inlineStr">
        <is>
          <t>P/U ASSY</t>
        </is>
      </c>
      <c r="D37" s="1419" t="inlineStr">
        <is>
          <t>B</t>
        </is>
      </c>
      <c r="E37" s="1399" t="inlineStr">
        <is>
          <t xml:space="preserve"> &amp; RIH</t>
        </is>
      </c>
      <c r="F37" s="1425" t="inlineStr">
        <is>
          <t>3-1/2" MCBD NINE-DH  BARRIER DEVICE</t>
        </is>
      </c>
      <c r="I37" s="975" t="n"/>
      <c r="J37" s="1417" t="n"/>
      <c r="K37" s="1418" t="inlineStr">
        <is>
          <t xml:space="preserve">FILL UP BY HOSE ONLY  NO MUD PUMP  OR SUPERCHARGER </t>
        </is>
      </c>
      <c r="L37" s="1037" t="n"/>
      <c r="M37" s="1401" t="n"/>
    </row>
    <row r="38" ht="20.25" customFormat="1" customHeight="1" s="1396">
      <c r="A38" s="1422" t="n"/>
      <c r="B38" s="1400" t="n"/>
      <c r="C38" s="1423" t="n"/>
      <c r="D38" s="1423" t="n"/>
      <c r="E38" s="1423" t="n"/>
      <c r="F38" s="1426" t="n"/>
      <c r="G38" s="1426" t="n"/>
      <c r="H38" s="1426" t="n"/>
      <c r="I38" s="1426" t="n"/>
      <c r="J38" s="1420" t="inlineStr">
        <is>
          <t xml:space="preserve">FILL UP </t>
        </is>
      </c>
      <c r="K38" s="1084" t="n"/>
      <c r="L38" s="975" t="n"/>
      <c r="M38" s="1424" t="n"/>
    </row>
    <row r="39" ht="14.25" customFormat="1" customHeight="1" s="1396">
      <c r="A39" s="1422" t="n"/>
      <c r="B39" s="1400" t="n"/>
      <c r="C39" s="1423" t="n"/>
      <c r="D39" s="1423" t="n"/>
      <c r="E39" s="1423" t="n"/>
      <c r="F39" s="1427" t="n"/>
      <c r="G39" s="1423" t="n"/>
      <c r="H39" s="1423" t="n"/>
      <c r="I39" s="1423" t="n"/>
      <c r="J39" s="1421" t="n"/>
      <c r="K39" s="998" t="n"/>
      <c r="L39" s="1045" t="n"/>
      <c r="M39" s="1424" t="n"/>
    </row>
    <row r="40" ht="1.5" customFormat="1" customHeight="1" s="1396">
      <c r="A40" s="1422" t="n"/>
      <c r="B40" s="1400" t="n"/>
      <c r="C40" s="1428" t="n"/>
      <c r="D40" s="1429" t="n"/>
      <c r="E40" s="1429" t="n"/>
      <c r="F40" s="1427" t="n"/>
      <c r="G40" s="1429" t="n"/>
      <c r="H40" s="1429" t="n"/>
      <c r="I40" s="1429" t="n"/>
      <c r="J40" s="1429" t="n"/>
      <c r="K40" s="1429" t="n"/>
      <c r="L40" s="1400" t="n"/>
      <c r="M40" s="1424" t="n"/>
    </row>
    <row r="41" ht="15" customFormat="1" customHeight="1" s="1396">
      <c r="A41" s="1422" t="n"/>
      <c r="B41" s="1400" t="n"/>
      <c r="C41" s="1430" t="inlineStr">
        <is>
          <t xml:space="preserve">●	CONTROL RUNNING SPEED NO JERKING OR OVER SLACK OFF MORE THAN 3 KLBS	</t>
        </is>
      </c>
      <c r="L41" s="1400" t="n"/>
      <c r="M41" s="1424" t="n"/>
    </row>
    <row r="42" ht="9.75" customFormat="1" customHeight="1" s="1396">
      <c r="A42" s="1422" t="n"/>
      <c r="B42" s="1400" t="n"/>
      <c r="L42" s="1400" t="n"/>
      <c r="M42" s="1424" t="n"/>
    </row>
    <row r="43" ht="15" customFormat="1" customHeight="1" s="1396">
      <c r="A43" s="1397" t="inlineStr">
        <is>
          <t>6)</t>
        </is>
      </c>
      <c r="B43" s="1398" t="n"/>
      <c r="C43" s="1399" t="inlineStr">
        <is>
          <t>M/U TBG JT</t>
        </is>
      </c>
      <c r="D43" s="1410" t="n">
        <v>146</v>
      </c>
      <c r="E43" s="1399" t="n"/>
      <c r="F43" s="1400" t="n"/>
      <c r="G43" s="1411" t="inlineStr">
        <is>
          <t>147</t>
        </is>
      </c>
      <c r="H43" s="1412">
        <f>G43-D43+1</f>
        <v/>
      </c>
      <c r="I43" s="1413" t="inlineStr">
        <is>
          <t>3-1/2" TUBING 9.2 LB/FT ALLOY 28 TSH BL</t>
        </is>
      </c>
      <c r="L43" s="1400" t="n"/>
      <c r="M43" s="1401" t="n"/>
    </row>
    <row r="44" ht="15" customFormat="1" customHeight="1" s="1431">
      <c r="A44" s="1432" t="n"/>
      <c r="B44" s="1433" t="n"/>
      <c r="C44" s="1434" t="inlineStr">
        <is>
          <t>● ALWAYS COVER THE HOLE TO AVOID DROP OBJECT</t>
        </is>
      </c>
      <c r="L44" s="1435" t="n"/>
    </row>
    <row r="45" ht="83.25" customFormat="1" customHeight="1" s="1396">
      <c r="A45" s="1397" t="inlineStr">
        <is>
          <t>7)</t>
        </is>
      </c>
      <c r="B45" s="1398" t="n"/>
      <c r="C45" s="1399" t="inlineStr">
        <is>
          <t>P/U ASSY</t>
        </is>
      </c>
      <c r="D45" s="1436" t="inlineStr">
        <is>
          <t>C</t>
        </is>
      </c>
      <c r="E45" s="1399" t="inlineStr">
        <is>
          <t xml:space="preserve"> &amp; RIH</t>
        </is>
      </c>
      <c r="F45" s="1437"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24" t="n"/>
    </row>
    <row r="46" ht="17.25" customFormat="1" customHeight="1" s="1438">
      <c r="A46" s="1439" t="n"/>
      <c r="B46" s="1440" t="n"/>
      <c r="C46" s="1434" t="n"/>
      <c r="D46" s="1434" t="n"/>
      <c r="E46" s="1434" t="n"/>
      <c r="F46" s="1441" t="inlineStr">
        <is>
          <t>CHECK NUMBER OF SHEAR SCREW (COMPARE WITH SUB ASSEMBLY DATASHEET), RUBBER ELEMENT CONDITION, SLIPS AND ETC</t>
        </is>
      </c>
      <c r="G46" s="1434" t="n"/>
      <c r="H46" s="1434" t="n"/>
      <c r="I46" s="1434" t="n"/>
      <c r="J46" s="1434" t="n"/>
      <c r="K46" s="1434" t="n"/>
      <c r="L46" s="1435" t="n"/>
    </row>
    <row r="47" ht="15" customFormat="1" customHeight="1" s="1442">
      <c r="A47" s="1439" t="inlineStr">
        <is>
          <t>8)</t>
        </is>
      </c>
      <c r="B47" s="1443" t="n"/>
      <c r="C47" s="1444" t="inlineStr">
        <is>
          <t>M/U TBG JT</t>
        </is>
      </c>
      <c r="D47" s="1445" t="n">
        <v>148</v>
      </c>
      <c r="E47" s="1444" t="inlineStr">
        <is>
          <t xml:space="preserve"> &amp;  RIH TILL TBG JT</t>
        </is>
      </c>
      <c r="F47" s="1427" t="n"/>
      <c r="G47" s="1445" t="n">
        <v>192</v>
      </c>
      <c r="H47" s="1412">
        <f>G47-D47+1</f>
        <v/>
      </c>
      <c r="I47" s="1413" t="inlineStr">
        <is>
          <t>3-1/2" TUBING 9.2 LB/FT ALLOY 28 TSH BL</t>
        </is>
      </c>
      <c r="L47" s="1444" t="n"/>
    </row>
    <row r="48" ht="17.25" customFormat="1" customHeight="1" s="1438">
      <c r="A48" s="1439" t="n"/>
      <c r="B48" s="1440" t="n"/>
      <c r="C48" s="1434" t="n"/>
      <c r="D48" s="1434" t="n"/>
      <c r="E48" s="1434" t="n"/>
      <c r="F48" s="1434" t="n"/>
      <c r="G48" s="1434" t="n"/>
      <c r="H48" s="1434" t="n"/>
      <c r="I48" s="1434" t="n"/>
      <c r="J48" s="1434" t="n"/>
      <c r="K48" s="1434" t="n"/>
      <c r="L48" s="1435" t="n"/>
    </row>
    <row r="49" ht="46.5" customFormat="1" customHeight="1" s="1396">
      <c r="A49" s="1397" t="inlineStr">
        <is>
          <t>9)</t>
        </is>
      </c>
      <c r="B49" s="1398" t="n"/>
      <c r="C49" s="1399" t="inlineStr">
        <is>
          <t>P/U ASSY</t>
        </is>
      </c>
      <c r="D49" s="1436" t="inlineStr">
        <is>
          <t>D1</t>
        </is>
      </c>
      <c r="E49" s="1399" t="inlineStr">
        <is>
          <t xml:space="preserve"> &amp; RIH</t>
        </is>
      </c>
      <c r="F49" s="1446" t="inlineStr">
        <is>
          <t xml:space="preserve">WEATHERFORD SIDE POCKET MANDREL GROOVED Mandrel, SBRO-2NGRDUMMY                                 </t>
        </is>
      </c>
      <c r="M49" s="1424" t="n"/>
    </row>
    <row r="50" ht="15" customFormat="1" customHeight="1" s="1396">
      <c r="A50" s="1397" t="inlineStr">
        <is>
          <t>10)</t>
        </is>
      </c>
      <c r="B50" s="1398" t="n"/>
      <c r="C50" s="1399" t="inlineStr">
        <is>
          <t>M/U TBG JT</t>
        </is>
      </c>
      <c r="D50" s="1410" t="n">
        <v>193</v>
      </c>
      <c r="E50" s="1399" t="n"/>
      <c r="F50" s="1400" t="n"/>
      <c r="G50" s="1411" t="inlineStr">
        <is>
          <t>207</t>
        </is>
      </c>
      <c r="H50" s="1412">
        <f>G50-D50+1</f>
        <v/>
      </c>
      <c r="I50" s="1413" t="inlineStr">
        <is>
          <t>3-1/2" TUBING 9.2 LB/FT ALLOY 28 TSH BL</t>
        </is>
      </c>
      <c r="L50" s="1400" t="n"/>
      <c r="M50" s="1401" t="n"/>
    </row>
    <row r="51" ht="15" customFormat="1" customHeight="1" s="1396">
      <c r="A51" s="1422" t="n"/>
      <c r="B51" s="1400" t="n"/>
      <c r="C51" s="1423" t="n"/>
      <c r="D51" s="1423" t="n"/>
      <c r="E51" s="1423" t="n"/>
      <c r="F51" s="1423" t="n"/>
      <c r="G51" s="1423" t="n"/>
      <c r="H51" s="1423" t="n"/>
      <c r="I51" s="1423" t="n"/>
      <c r="J51" s="1423" t="n"/>
      <c r="K51" s="1423" t="n"/>
      <c r="L51" s="1400" t="n"/>
      <c r="M51" s="1424" t="n"/>
    </row>
    <row r="52" ht="15" customFormat="1" customHeight="1" s="1396">
      <c r="A52" s="1397" t="inlineStr">
        <is>
          <t>11)</t>
        </is>
      </c>
      <c r="B52" s="1398" t="n"/>
      <c r="C52" s="1399" t="inlineStr">
        <is>
          <t>P/U ASSY</t>
        </is>
      </c>
      <c r="D52" s="1419" t="inlineStr">
        <is>
          <t>D2</t>
        </is>
      </c>
      <c r="E52" s="1399" t="inlineStr">
        <is>
          <t xml:space="preserve"> &amp; RIH</t>
        </is>
      </c>
      <c r="F52" s="1446" t="inlineStr">
        <is>
          <t xml:space="preserve">WEATHERFORD SIDE POCKET MANDREL GROOVED Mandrel, SBRO-2NGRDUMMY                                 </t>
        </is>
      </c>
      <c r="M52" s="1401" t="n"/>
    </row>
    <row r="53" ht="20.25" customFormat="1" customHeight="1" s="1396">
      <c r="A53" s="1422" t="n"/>
      <c r="B53" s="1400" t="n"/>
      <c r="C53" s="1423" t="n"/>
      <c r="D53" s="1423" t="n"/>
      <c r="E53" s="1423" t="n"/>
      <c r="M53" s="1424" t="n"/>
    </row>
    <row r="54" ht="14.25" customFormat="1" customHeight="1" s="1396">
      <c r="A54" s="1422" t="n"/>
      <c r="B54" s="1400" t="n"/>
      <c r="C54" s="1423" t="n"/>
      <c r="D54" s="1423" t="n"/>
      <c r="E54" s="1423" t="n"/>
      <c r="F54" s="1427" t="n"/>
      <c r="G54" s="1423" t="n"/>
      <c r="H54" s="1423" t="n"/>
      <c r="I54" s="1423" t="n"/>
      <c r="J54" s="1423" t="n"/>
      <c r="K54" s="1423" t="n"/>
      <c r="L54" s="1400" t="n"/>
      <c r="M54" s="1424" t="n"/>
    </row>
    <row r="55" ht="1.5" customFormat="1" customHeight="1" s="1396">
      <c r="A55" s="1422" t="n"/>
      <c r="B55" s="1400" t="n"/>
      <c r="C55" s="1428" t="n"/>
      <c r="D55" s="1429" t="n"/>
      <c r="E55" s="1429" t="n"/>
      <c r="F55" s="1427" t="n"/>
      <c r="G55" s="1429" t="n"/>
      <c r="H55" s="1429" t="n"/>
      <c r="I55" s="1429" t="n"/>
      <c r="J55" s="1429" t="n"/>
      <c r="K55" s="1429" t="n"/>
      <c r="L55" s="1400" t="n"/>
      <c r="M55" s="1424" t="n"/>
    </row>
    <row r="56" ht="15" customFormat="1" customHeight="1" s="1396">
      <c r="A56" s="1422" t="n"/>
      <c r="B56" s="1400" t="n"/>
      <c r="C56" s="1430" t="inlineStr">
        <is>
          <t xml:space="preserve">●	CONTROL RUNNING SPEED NO JERKING OR OVER SLACK OFF MORE THAN 3 KLBS	</t>
        </is>
      </c>
      <c r="L56" s="1400" t="n"/>
      <c r="M56" s="1424" t="n"/>
    </row>
    <row r="57" ht="9.75" customFormat="1" customHeight="1" s="1396">
      <c r="A57" s="1422" t="n"/>
      <c r="B57" s="1400" t="n"/>
      <c r="L57" s="1400" t="n"/>
      <c r="M57" s="1424" t="n"/>
    </row>
    <row r="58" ht="15" customFormat="1" customHeight="1" s="1396">
      <c r="A58" s="1397" t="inlineStr">
        <is>
          <t>12)</t>
        </is>
      </c>
      <c r="B58" s="1398" t="n"/>
      <c r="C58" s="1399" t="inlineStr">
        <is>
          <t>M/U TBG JT</t>
        </is>
      </c>
      <c r="D58" s="1410" t="n">
        <v>208</v>
      </c>
      <c r="E58" s="1399" t="n"/>
      <c r="F58" s="1400" t="n"/>
      <c r="G58" s="1411" t="inlineStr">
        <is>
          <t>235</t>
        </is>
      </c>
      <c r="H58" s="1412">
        <f>G58-D58+1</f>
        <v/>
      </c>
      <c r="I58" s="1413" t="inlineStr">
        <is>
          <t>3-1/2" TUBING 9.2 LB/FT ALLOY 28 TSH BL</t>
        </is>
      </c>
      <c r="L58" s="1400" t="n"/>
      <c r="M58" s="1401" t="n"/>
    </row>
    <row r="59" ht="15" customFormat="1" customHeight="1" s="1431">
      <c r="A59" s="1432" t="n"/>
      <c r="B59" s="1433" t="n"/>
      <c r="C59" s="1434" t="inlineStr">
        <is>
          <t>● ALWAYS COVER THE HOLE TO AVOID DROP OBJECT</t>
        </is>
      </c>
      <c r="L59" s="1435" t="n"/>
    </row>
    <row r="60" ht="35.25" customFormat="1" customHeight="1" s="1396">
      <c r="A60" s="1397" t="inlineStr">
        <is>
          <t>13)</t>
        </is>
      </c>
      <c r="B60" s="1398" t="n"/>
      <c r="C60" s="1399" t="inlineStr">
        <is>
          <t>P/U ASSY</t>
        </is>
      </c>
      <c r="D60" s="1436" t="inlineStr">
        <is>
          <t>D3</t>
        </is>
      </c>
      <c r="E60" s="1399" t="inlineStr">
        <is>
          <t xml:space="preserve"> &amp; RIH</t>
        </is>
      </c>
      <c r="F60" s="1446" t="inlineStr">
        <is>
          <t xml:space="preserve">WEATHERFORD SIDE POCKET MANDREL GROOVED Mandrel, SBRO-2NGRDUMMY                                 </t>
        </is>
      </c>
      <c r="M60" s="1424" t="n"/>
    </row>
    <row r="61" ht="17.25" customFormat="1" customHeight="1" s="1438">
      <c r="A61" s="1439" t="n"/>
      <c r="B61" s="1440" t="n"/>
      <c r="C61" s="1434" t="n"/>
      <c r="D61" s="1434" t="n"/>
      <c r="E61" s="1434" t="n"/>
      <c r="F61" s="1434" t="n"/>
      <c r="G61" s="1434" t="n"/>
      <c r="H61" s="1434" t="n"/>
      <c r="I61" s="1434" t="n"/>
      <c r="J61" s="1434" t="n"/>
      <c r="K61" s="1434" t="n"/>
      <c r="L61" s="1435" t="n"/>
    </row>
    <row r="62" ht="15" customFormat="1" customHeight="1" s="1442">
      <c r="A62" s="1439" t="inlineStr">
        <is>
          <t>14)</t>
        </is>
      </c>
      <c r="B62" s="1443" t="n"/>
      <c r="C62" s="1444" t="inlineStr">
        <is>
          <t>M/U TBG JT</t>
        </is>
      </c>
      <c r="D62" s="1445" t="n">
        <v>236</v>
      </c>
      <c r="E62" s="1444" t="inlineStr">
        <is>
          <t xml:space="preserve"> &amp;  RIH TILL TBG JT</t>
        </is>
      </c>
      <c r="F62" s="1427" t="n"/>
      <c r="G62" s="1445" t="n">
        <v>284</v>
      </c>
      <c r="H62" s="1412">
        <f>G62-D62+1</f>
        <v/>
      </c>
      <c r="I62" s="1413" t="inlineStr">
        <is>
          <t>3-1/2" TUBING 9.2 LB/FT ALLOY 28 TSH BL</t>
        </is>
      </c>
      <c r="L62" s="1444" t="n"/>
    </row>
    <row r="63" ht="17.25" customFormat="1" customHeight="1" s="1438">
      <c r="A63" s="1439" t="n"/>
      <c r="B63" s="1440" t="n"/>
      <c r="C63" s="1434" t="n"/>
      <c r="D63" s="1434" t="n"/>
      <c r="E63" s="1434" t="n"/>
      <c r="F63" s="1434" t="n"/>
      <c r="G63" s="1434" t="n"/>
      <c r="H63" s="1434" t="n"/>
      <c r="I63" s="1434" t="n"/>
      <c r="J63" s="1434" t="n"/>
      <c r="K63" s="1434" t="n"/>
      <c r="L63" s="1435" t="n"/>
    </row>
    <row r="64" ht="46.5" customFormat="1" customHeight="1" s="1396">
      <c r="A64" s="1397" t="inlineStr">
        <is>
          <t>15)</t>
        </is>
      </c>
      <c r="B64" s="1398" t="n"/>
      <c r="C64" s="1399" t="inlineStr">
        <is>
          <t>P/U ASSY</t>
        </is>
      </c>
      <c r="D64" s="1436" t="inlineStr">
        <is>
          <t>D4</t>
        </is>
      </c>
      <c r="E64" s="1399" t="inlineStr">
        <is>
          <t xml:space="preserve"> &amp; RIH</t>
        </is>
      </c>
      <c r="F64" s="1446" t="inlineStr">
        <is>
          <t>WEATHERFORD SIDE POCKET MANDREL Mandrel, SBRO-2JGRDVX 3.5 9.2# Vam Top BxP S13CR95 QP-277DUMMY SN 12796498-02</t>
        </is>
      </c>
      <c r="M64" s="1424" t="n"/>
    </row>
    <row r="65" ht="17.25" customFormat="1" customHeight="1" s="1438">
      <c r="A65" s="1439" t="n"/>
      <c r="B65" s="1440" t="n"/>
      <c r="C65" s="1434" t="n"/>
      <c r="D65" s="1434" t="n"/>
      <c r="E65" s="1434" t="n"/>
      <c r="F65" s="1434" t="n"/>
      <c r="G65" s="1434" t="n"/>
      <c r="H65" s="1434" t="n"/>
      <c r="I65" s="1434" t="n"/>
      <c r="J65" s="1434" t="n"/>
      <c r="K65" s="1434" t="n"/>
      <c r="L65" s="1435" t="n"/>
    </row>
    <row r="66" ht="15" customFormat="1" customHeight="1" s="1442">
      <c r="A66" s="1439" t="inlineStr">
        <is>
          <t>16)</t>
        </is>
      </c>
      <c r="B66" s="1443" t="n"/>
      <c r="C66" s="1444" t="inlineStr">
        <is>
          <t>M/U TBG JT</t>
        </is>
      </c>
      <c r="D66" s="1445" t="n">
        <v>285</v>
      </c>
      <c r="E66" s="1444" t="inlineStr">
        <is>
          <t xml:space="preserve"> &amp;  RIH TILL TBG JT</t>
        </is>
      </c>
      <c r="F66" s="1427" t="n"/>
      <c r="G66" s="1445" t="n">
        <v>359</v>
      </c>
      <c r="H66" s="1412">
        <f>G66-D66+1</f>
        <v/>
      </c>
      <c r="I66" s="1413" t="inlineStr">
        <is>
          <t>3-1/2" TUBING 9.2 LB/FT ALLOY 28 TSH BL</t>
        </is>
      </c>
      <c r="L66" s="1444" t="n"/>
    </row>
    <row r="67" ht="17.25" customFormat="1" customHeight="1" s="1438">
      <c r="A67" s="1439" t="n"/>
      <c r="B67" s="1440" t="n"/>
      <c r="C67" s="1434" t="n"/>
      <c r="D67" s="1434" t="n"/>
      <c r="E67" s="1434" t="n"/>
      <c r="F67" s="1434" t="n"/>
      <c r="G67" s="1434" t="n"/>
      <c r="H67" s="1434" t="n"/>
      <c r="I67" s="1434" t="n"/>
      <c r="J67" s="1434" t="n"/>
      <c r="K67" s="1434" t="n"/>
      <c r="L67" s="1435" t="n"/>
    </row>
    <row r="68" ht="65.25" customFormat="1" customHeight="1" s="1396">
      <c r="A68" s="1397" t="inlineStr">
        <is>
          <t>17)</t>
        </is>
      </c>
      <c r="B68" s="1398" t="n"/>
      <c r="C68" s="1399" t="inlineStr">
        <is>
          <t>P/U ASSY</t>
        </is>
      </c>
      <c r="D68" s="1436" t="inlineStr">
        <is>
          <t>F</t>
        </is>
      </c>
      <c r="E68" s="1399" t="inlineStr">
        <is>
          <t xml:space="preserve"> &amp; RIH</t>
        </is>
      </c>
      <c r="F68" s="1437" t="inlineStr">
        <is>
          <t xml:space="preserve">
DESCRIPTION : WEATHERFORD ASSY,TRSV,3.5WZPE-10 2.813WOR,2KSD,9.2H VAM TOP,WN302
PN: 2980845
S/N: 12777594-01
SAP: 130010038007
SUPPLIER: WEATHERFORD
</t>
        </is>
      </c>
      <c r="M68" s="1424" t="n"/>
    </row>
    <row r="69" ht="17.25" customFormat="1" customHeight="1" s="1438">
      <c r="A69" s="1439" t="n"/>
      <c r="B69" s="1440" t="n"/>
      <c r="C69" s="1434" t="n"/>
      <c r="D69" s="1434" t="n"/>
      <c r="E69" s="1434" t="n"/>
      <c r="F69" s="1434" t="n"/>
      <c r="G69" s="1434" t="n"/>
      <c r="H69" s="1434" t="n"/>
      <c r="I69" s="1434" t="n"/>
      <c r="J69" s="1434" t="n"/>
      <c r="K69" s="1434" t="n"/>
      <c r="L69" s="1435" t="n"/>
    </row>
    <row r="70" ht="15" customFormat="1" customHeight="1" s="1442">
      <c r="A70" s="1439" t="inlineStr">
        <is>
          <t>18)</t>
        </is>
      </c>
      <c r="B70" s="1443" t="n"/>
      <c r="C70" s="1444" t="inlineStr">
        <is>
          <t xml:space="preserve">M/U TBG </t>
        </is>
      </c>
      <c r="D70" s="1445" t="n">
        <v>360</v>
      </c>
      <c r="E70" s="1444" t="inlineStr">
        <is>
          <t xml:space="preserve"> &amp;  RIH TILL TBG JT</t>
        </is>
      </c>
      <c r="F70" s="1427" t="n"/>
      <c r="G70" s="1445" t="n">
        <v>364</v>
      </c>
      <c r="H70" s="1412">
        <f>G70-D70+1</f>
        <v/>
      </c>
      <c r="I70" s="1413" t="inlineStr">
        <is>
          <t>3-1/2" TUBING 9.2 LB/FT ALLOY 28 TSH BL</t>
        </is>
      </c>
      <c r="L70" s="1444" t="n"/>
    </row>
    <row r="71" ht="35.25" customFormat="1" customHeight="1" s="1442">
      <c r="A71" s="1439" t="n">
        <v>19</v>
      </c>
      <c r="B71" s="1443" t="n"/>
      <c r="C71" s="1444" t="inlineStr">
        <is>
          <t xml:space="preserve">CHANGE ELEVATORS FRO, 3-1/2"  TO 4-1/2" </t>
        </is>
      </c>
      <c r="D71" s="1447" t="n"/>
      <c r="E71" s="1444" t="n"/>
      <c r="F71" s="1427" t="n"/>
      <c r="G71" s="1447" t="n"/>
      <c r="H71" s="1448" t="n"/>
      <c r="I71" s="1449" t="n"/>
      <c r="J71" s="1449" t="n"/>
      <c r="K71" s="1449" t="n"/>
      <c r="L71" s="1449" t="n"/>
    </row>
    <row r="72" ht="17.25" customFormat="1" customHeight="1" s="1438">
      <c r="A72" s="1439" t="n"/>
      <c r="B72" s="1440" t="n"/>
      <c r="C72" s="1434" t="n"/>
      <c r="D72" s="1434" t="n"/>
      <c r="E72" s="1434" t="n"/>
      <c r="F72" s="1434" t="n"/>
      <c r="G72" s="1434" t="n"/>
      <c r="H72" s="1434" t="n"/>
      <c r="I72" s="1434" t="n"/>
      <c r="J72" s="1434" t="n"/>
      <c r="K72" s="1434" t="n"/>
      <c r="L72" s="1435" t="n"/>
    </row>
    <row r="73" ht="17.25" customFormat="1" customHeight="1" s="1438">
      <c r="A73" s="1439" t="n"/>
      <c r="B73" s="1440" t="n"/>
      <c r="C73" s="1434" t="n"/>
      <c r="D73" s="1434" t="n"/>
      <c r="E73" s="1434" t="n"/>
      <c r="F73" s="1434" t="n"/>
      <c r="G73" s="1434" t="n"/>
      <c r="H73" s="1434" t="n"/>
      <c r="I73" s="1434" t="n"/>
      <c r="J73" s="1434" t="n"/>
      <c r="K73" s="1434" t="n"/>
      <c r="L73" s="1435" t="n"/>
    </row>
    <row r="74" ht="15.75" customFormat="1" customHeight="1" s="1442">
      <c r="A74" s="1450" t="n">
        <v>20</v>
      </c>
      <c r="B74" s="1444" t="n"/>
      <c r="C74" s="1444" t="inlineStr">
        <is>
          <t>P/U ASSY</t>
        </is>
      </c>
      <c r="D74" s="1451" t="inlineStr">
        <is>
          <t>G</t>
        </is>
      </c>
      <c r="E74" s="1444" t="n"/>
      <c r="F74" s="1451" t="inlineStr">
        <is>
          <t>4-1/2''  TUBING HANGER</t>
        </is>
      </c>
      <c r="G74" s="875" t="n"/>
      <c r="H74" s="875" t="n"/>
      <c r="I74" s="875" t="n"/>
      <c r="J74" s="875" t="n"/>
      <c r="K74" s="872" t="n"/>
      <c r="L74" s="1444" t="n"/>
    </row>
    <row r="75" ht="111" customFormat="1" customHeight="1" s="913">
      <c r="A75" s="1452" t="n"/>
      <c r="B75" s="1453" t="n"/>
      <c r="C75" s="1454" t="inlineStr">
        <is>
          <t xml:space="preserve">COMPLETION TESTING </t>
        </is>
      </c>
    </row>
    <row r="76" ht="28.5" customFormat="1" customHeight="1" s="913">
      <c r="A76" s="1455" t="n">
        <v>21</v>
      </c>
      <c r="B76" s="1456" t="n"/>
      <c r="C76" s="1457" t="inlineStr">
        <is>
          <t>P/U &amp; M/U tubing hanger and Feedthru control line into same (do not wrap control line). Test control line to 7,500
psi for 10 minutes. Extend control line to surface and kept 7500 psi on C/L.</t>
        </is>
      </c>
      <c r="L76" s="1456" t="n"/>
    </row>
    <row r="77" ht="15" customFormat="1" customHeight="1" s="1458">
      <c r="A77" s="1459" t="n"/>
      <c r="B77" s="1460" t="n"/>
      <c r="C77" s="1461" t="inlineStr">
        <is>
          <t>● CLEAN OUT TUBING HEAD SPOOL FROM ANY DEBRIS AND ENSURE THE LOCK DOWN SCREW IN THE TUBING</t>
        </is>
      </c>
      <c r="D77" s="1461" t="n"/>
      <c r="E77" s="1461" t="n"/>
      <c r="F77" s="1461" t="n"/>
      <c r="G77" s="1461" t="n"/>
      <c r="H77" s="1461" t="n"/>
      <c r="I77" s="1461" t="n"/>
      <c r="J77" s="1461" t="n"/>
      <c r="K77" s="1461" t="n"/>
      <c r="L77" s="1460" t="n"/>
    </row>
    <row r="78" ht="15" customFormat="1" customHeight="1" s="1462">
      <c r="A78" s="1461" t="n"/>
      <c r="B78" s="1463" t="n"/>
      <c r="C78" s="1464" t="inlineStr">
        <is>
          <t>● WELLHEAD ENGR TO ENSURE THE LOCKDOWN SCREWS RETRACTED BEFORE LANDING TUBING HANGER.</t>
        </is>
      </c>
      <c r="D78" s="1464" t="n"/>
      <c r="E78" s="1464" t="n"/>
      <c r="F78" s="1464" t="n"/>
      <c r="G78" s="1464" t="n"/>
      <c r="H78" s="1464" t="n"/>
      <c r="I78" s="1464" t="n"/>
      <c r="J78" s="1464" t="n"/>
      <c r="K78" s="1464" t="n"/>
      <c r="L78" s="1463" t="n"/>
    </row>
    <row r="79" ht="15" customFormat="1" customHeight="1" s="1462">
      <c r="A79" s="1465" t="n"/>
      <c r="B79" s="1463" t="n"/>
      <c r="C79" s="1464" t="inlineStr">
        <is>
          <t>● WELLHEAD ENGR TO MARK THE TBG HGR TO VISIBLY CHECK FOR PROPER LANDING THROUGH SOV</t>
        </is>
      </c>
      <c r="D79" s="1464" t="n"/>
      <c r="E79" s="1464" t="n"/>
      <c r="F79" s="1464" t="n"/>
      <c r="G79" s="1464" t="n"/>
      <c r="H79" s="1464" t="n"/>
      <c r="I79" s="1464" t="n"/>
      <c r="J79" s="1464" t="n"/>
      <c r="K79" s="1464" t="n"/>
      <c r="L79" s="1463" t="n"/>
    </row>
    <row r="80" ht="15" customFormat="1" customHeight="1" s="1462">
      <c r="A80" s="1455" t="n"/>
      <c r="B80" s="1463" t="n"/>
      <c r="C80" s="1464" t="inlineStr">
        <is>
          <t xml:space="preserve">●RECORD P/U AND S/O WEIGHT. </t>
        </is>
      </c>
      <c r="D80" s="1464" t="n"/>
      <c r="E80" s="1464" t="n"/>
      <c r="F80" s="1464" t="n"/>
      <c r="G80" s="1464" t="n"/>
      <c r="H80" s="1464" t="n"/>
      <c r="I80" s="1464" t="n"/>
      <c r="J80" s="1464" t="n"/>
      <c r="K80" s="1464" t="n"/>
      <c r="L80" s="1466" t="n"/>
    </row>
    <row r="81" ht="15" customHeight="1" s="862">
      <c r="A81" s="1455" t="n">
        <v>22</v>
      </c>
      <c r="B81" s="1467" t="n"/>
      <c r="C81" s="1468" t="inlineStr">
        <is>
          <t>R/U INJECTION MANIFOLD AND TESTED TO 5000 PSI FOR 10 MINS IN SOLID HOLDING PRESSURE.</t>
        </is>
      </c>
      <c r="D81" s="1468" t="n"/>
      <c r="E81" s="1468" t="n"/>
      <c r="F81" s="1468" t="n"/>
      <c r="G81" s="1468" t="n"/>
      <c r="H81" s="1468" t="n"/>
      <c r="I81" s="1468" t="n"/>
      <c r="J81" s="1468" t="n"/>
      <c r="K81" s="1468" t="n"/>
      <c r="L81" s="1467" t="n"/>
    </row>
    <row r="82" ht="62.25" customHeight="1" s="862">
      <c r="A82" s="1455" t="n">
        <v>23</v>
      </c>
      <c r="B82" s="1467" t="n"/>
      <c r="C82" s="1457"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62">
      <c r="A83" s="1455" t="n">
        <v>24</v>
      </c>
      <c r="B83" s="1467" t="n"/>
      <c r="C83" s="1467" t="inlineStr">
        <is>
          <t>KEEP 4000 PSI ON THE TUBING, BLEED CONTROL LINE PRESSURE TO 0 PSI TO CLOSE THE TRSV</t>
        </is>
      </c>
      <c r="D83" s="1467" t="n"/>
      <c r="E83" s="1467" t="n"/>
      <c r="F83" s="1467" t="n"/>
      <c r="G83" s="1467" t="n"/>
      <c r="H83" s="1467" t="n"/>
      <c r="I83" s="1467" t="n"/>
      <c r="J83" s="1467" t="n"/>
      <c r="K83" s="1467" t="n"/>
      <c r="L83" s="1468" t="n"/>
    </row>
    <row r="84" ht="15" customHeight="1" s="862">
      <c r="A84" s="1455" t="n">
        <v>25</v>
      </c>
      <c r="B84" s="1467" t="n"/>
      <c r="C84" s="1467" t="inlineStr">
        <is>
          <t>BLEED TUBING ABOVE SV TO 3500 PSI AS QUICKLY AS PRACTICAL AND MEASURE RETURNS AND MONITOR FOR 15 MINUTES.</t>
        </is>
      </c>
      <c r="D84" s="1467" t="n"/>
      <c r="E84" s="1467" t="n"/>
      <c r="F84" s="1467" t="n"/>
      <c r="G84" s="1467" t="n"/>
      <c r="H84" s="1467" t="n"/>
      <c r="I84" s="1467" t="n"/>
      <c r="J84" s="1467" t="n"/>
      <c r="K84" s="1467" t="n"/>
      <c r="L84" s="1468" t="n"/>
    </row>
    <row r="85" ht="15" customHeight="1" s="862">
      <c r="A85" s="1455" t="n">
        <v>26</v>
      </c>
      <c r="B85" s="1467" t="n"/>
      <c r="C85" s="1467" t="inlineStr">
        <is>
          <t>BLEED TUBING ABOVE SV TO 800  PSI AS QUICKLY AS PRACTICAL AND MEASURE RETURNS AND MONITOR FOR 15 MINUTES.</t>
        </is>
      </c>
      <c r="D85" s="1467" t="n"/>
      <c r="E85" s="1467" t="n"/>
      <c r="F85" s="1467" t="n"/>
      <c r="G85" s="1467" t="n"/>
      <c r="H85" s="1467" t="n"/>
      <c r="I85" s="1467" t="n"/>
      <c r="J85" s="1467" t="n"/>
      <c r="K85" s="1467" t="n"/>
      <c r="L85" s="1468" t="n"/>
    </row>
    <row r="86" ht="15" customHeight="1" s="862">
      <c r="A86" s="1455" t="n">
        <v>27</v>
      </c>
      <c r="B86" s="1467" t="n"/>
      <c r="C86" s="1467" t="inlineStr">
        <is>
          <t>INCREASE TUBING PRESSURE BACK TO 4000 PSI TO EQUALIZE ACROSS THE TRSV . INCREASE CL PRESSURETO 7500 PSI TO OPEN TRSV</t>
        </is>
      </c>
      <c r="D86" s="1467" t="n"/>
      <c r="E86" s="1467" t="n"/>
      <c r="F86" s="1467" t="n"/>
      <c r="G86" s="1467" t="n"/>
      <c r="H86" s="1467" t="n"/>
      <c r="I86" s="1467" t="n"/>
      <c r="J86" s="1467" t="n"/>
      <c r="K86" s="1467" t="n"/>
      <c r="L86" s="1468" t="n"/>
    </row>
    <row r="87" ht="15" customHeight="1" s="862">
      <c r="A87" s="1455" t="n">
        <v>28</v>
      </c>
      <c r="B87" s="1467" t="n"/>
      <c r="C87" s="1469" t="inlineStr">
        <is>
          <t>BLEED TUBING PRESSURE DOWN TO 0 PSI. CHECK RETURNS TO ENSURE VALVE IS OPEN. RECORD VOLUME.</t>
        </is>
      </c>
      <c r="D87" s="1467" t="n"/>
      <c r="E87" s="1467" t="n"/>
      <c r="F87" s="1467" t="n"/>
      <c r="G87" s="1467" t="n"/>
      <c r="H87" s="1467" t="n"/>
      <c r="I87" s="1467" t="n"/>
      <c r="J87" s="1467" t="n"/>
      <c r="K87" s="1467" t="n"/>
      <c r="L87" s="1468" t="n"/>
    </row>
    <row r="88" ht="15" customHeight="1" s="862">
      <c r="A88" s="1455" t="n">
        <v>29</v>
      </c>
      <c r="B88" s="1467" t="n"/>
      <c r="C88" s="1467" t="inlineStr">
        <is>
          <t>REFER TO SERVICE PROVIDER PROCEDURE FOR ANY DEVIATION FROM THE PROGRAM</t>
        </is>
      </c>
      <c r="D88" s="1467" t="n"/>
      <c r="E88" s="1467" t="n"/>
      <c r="F88" s="1467" t="n"/>
      <c r="G88" s="1467" t="n"/>
      <c r="H88" s="1467" t="n"/>
      <c r="I88" s="1467" t="n"/>
      <c r="J88" s="1467" t="n"/>
      <c r="K88" s="1467" t="n"/>
      <c r="L88" s="1468" t="n"/>
    </row>
    <row r="89" ht="15" customHeight="1" s="862">
      <c r="A89" s="1455" t="n"/>
      <c r="B89" s="1467" t="n"/>
      <c r="C89" s="1468" t="inlineStr">
        <is>
          <t>● REVIEW AND VERIFY REMAINING CYCLES BASED ON TAG RECORD</t>
        </is>
      </c>
      <c r="D89" s="1468" t="n"/>
      <c r="E89" s="1468" t="n"/>
      <c r="F89" s="1468" t="n"/>
      <c r="G89" s="1468" t="n"/>
      <c r="H89" s="1468" t="n"/>
      <c r="I89" s="1468" t="n"/>
      <c r="J89" s="1468" t="n"/>
      <c r="K89" s="1468" t="n"/>
      <c r="L89" s="1468" t="n"/>
    </row>
    <row r="90" ht="15" customHeight="1" s="862">
      <c r="A90" s="1455" t="n"/>
      <c r="B90" s="1467" t="n"/>
      <c r="C90" s="1468" t="inlineStr">
        <is>
          <t>● APPLY PRESSURE IN THE TUBING STRING 2500 PSI FOR 5 MINS. AND BLEED OFF AS QUICK AS POSSIBLE TO 0 PSI KEEP 10 MINS.</t>
        </is>
      </c>
      <c r="D90" s="1468" t="n"/>
      <c r="E90" s="1468" t="n"/>
      <c r="F90" s="1468" t="n"/>
      <c r="G90" s="1468" t="n"/>
      <c r="H90" s="1468" t="n"/>
      <c r="I90" s="1468" t="n"/>
      <c r="J90" s="1468" t="n"/>
      <c r="K90" s="1468" t="n"/>
      <c r="L90" s="1468" t="n"/>
    </row>
    <row r="91" ht="15" customHeight="1" s="862">
      <c r="A91" s="1455" t="n"/>
      <c r="B91" s="1467" t="n"/>
      <c r="C91" s="1470" t="inlineStr">
        <is>
          <t>●CALL TOWN TO DECIDE EXTRA PRESSURE (4000 PSI) AND CYCLES. IF NOT SUCCESS - PROCEED TO RUPTURE WITH SLICK LINE CHISSEL.</t>
        </is>
      </c>
      <c r="D91" s="1468" t="n"/>
      <c r="E91" s="1468" t="n"/>
      <c r="F91" s="1468" t="n"/>
      <c r="G91" s="1468" t="n"/>
      <c r="H91" s="1468" t="n"/>
      <c r="I91" s="1468" t="n"/>
      <c r="J91" s="1468" t="n"/>
      <c r="K91" s="1468" t="n"/>
      <c r="L91" s="1468" t="n"/>
    </row>
    <row r="92" ht="15" customHeight="1" s="862">
      <c r="A92" s="1455" t="n"/>
      <c r="B92" s="1467" t="n"/>
      <c r="C92" s="1471" t="inlineStr">
        <is>
          <t xml:space="preserve">NOTE: IF THE BARRIER DEVICE DOES NOT RUPTURE AS PER PROGRAMMED CYCLES, CALL OFFICE PRIOR DOING EXTRA CYCLES.  </t>
        </is>
      </c>
      <c r="D92" s="1468" t="n"/>
      <c r="E92" s="1468" t="n"/>
      <c r="F92" s="1468" t="n"/>
      <c r="G92" s="1468" t="n"/>
      <c r="H92" s="1468" t="n"/>
      <c r="I92" s="1468" t="n"/>
      <c r="J92" s="1468" t="n"/>
      <c r="K92" s="1468" t="n"/>
      <c r="L92" s="1468" t="n"/>
    </row>
    <row r="93" ht="15" customHeight="1" s="862">
      <c r="A93" s="1455" t="n">
        <v>30</v>
      </c>
      <c r="B93" s="1467" t="n"/>
      <c r="C93" s="1463" t="inlineStr">
        <is>
          <t xml:space="preserve">TEST TUBING AGAINST OPEN HOLE TO 0.65 PSI/FT OR MAX 1000 PSI  OR 3 BPM W/CMT UNIT. </t>
        </is>
      </c>
      <c r="D93" s="1467" t="n"/>
      <c r="E93" s="1467" t="n"/>
      <c r="F93" s="1467" t="n"/>
      <c r="G93" s="1467" t="n"/>
      <c r="H93" s="1467" t="n"/>
      <c r="I93" s="1467" t="n"/>
      <c r="J93" s="1467" t="n"/>
      <c r="K93" s="1467" t="n"/>
      <c r="L93" s="1468" t="n"/>
    </row>
    <row r="94" ht="15" customFormat="1" customHeight="1" s="1462">
      <c r="A94" s="1455" t="n"/>
      <c r="B94" s="1463" t="n"/>
      <c r="C94" s="1464" t="inlineStr">
        <is>
          <t>● OPEN SOV (ANNULUS VALVE). ENSURE ANNULUS IS FULL AND OBSERVE ANNULUS FOR RETURNS.</t>
        </is>
      </c>
      <c r="D94" s="1464" t="n"/>
      <c r="E94" s="1464" t="n"/>
      <c r="F94" s="1464" t="n"/>
      <c r="G94" s="1464" t="n"/>
      <c r="H94" s="1464" t="n"/>
      <c r="I94" s="1464" t="n"/>
      <c r="J94" s="1464" t="n"/>
      <c r="K94" s="1464" t="n"/>
      <c r="L94" s="1464" t="n"/>
    </row>
    <row r="95" ht="15" customHeight="1" s="862">
      <c r="A95" s="1455" t="n">
        <v>31</v>
      </c>
      <c r="B95" s="1467" t="n"/>
      <c r="C95" s="1464" t="inlineStr">
        <is>
          <t>PRESSURE TEST ANNULUS TO 3700 PSI/30MINS, OK W/CMT UNIT.</t>
        </is>
      </c>
      <c r="D95" s="1464" t="n"/>
      <c r="E95" s="1464" t="n"/>
      <c r="F95" s="1464" t="n"/>
      <c r="G95" s="1468" t="n"/>
      <c r="H95" s="1468" t="n"/>
      <c r="I95" s="1468" t="n"/>
      <c r="J95" s="1468" t="n"/>
      <c r="K95" s="1468" t="n"/>
      <c r="L95" s="1468" t="n"/>
    </row>
    <row r="96" ht="15" customFormat="1" customHeight="1" s="1462">
      <c r="A96" s="1455" t="n"/>
      <c r="B96" s="1463" t="n"/>
      <c r="C96" s="1464" t="inlineStr">
        <is>
          <t>● OBSERVE TBG STRING FOR RETURNS.</t>
        </is>
      </c>
      <c r="D96" s="1464" t="n"/>
      <c r="E96" s="1464" t="n"/>
      <c r="F96" s="1464" t="n"/>
      <c r="G96" s="1464" t="n"/>
      <c r="H96" s="1464" t="n"/>
      <c r="I96" s="1464" t="n"/>
      <c r="J96" s="1464" t="n"/>
      <c r="K96" s="1464" t="n"/>
      <c r="L96" s="1464" t="n"/>
    </row>
    <row r="97" ht="15" customHeight="1" s="862">
      <c r="A97" s="1455" t="n">
        <v>32</v>
      </c>
      <c r="B97" s="1467" t="n"/>
      <c r="C97" s="1468" t="inlineStr">
        <is>
          <t xml:space="preserve"> BLEED OFF C/ LINE TO ZERO, BACK OUT AND L/D LANDING JT.  INSTALL NRV IN TBG HGR.</t>
        </is>
      </c>
      <c r="D97" s="1468" t="n"/>
      <c r="E97" s="1468" t="n"/>
      <c r="F97" s="1468" t="n"/>
      <c r="G97" s="1468" t="n"/>
      <c r="H97" s="1468" t="n"/>
      <c r="I97" s="1468" t="n"/>
      <c r="J97" s="1468" t="n"/>
      <c r="K97" s="1468" t="n"/>
      <c r="L97" s="1468" t="n"/>
    </row>
    <row r="98" ht="15" customFormat="1" customHeight="1" s="1462">
      <c r="A98" s="1455" t="n"/>
      <c r="B98" s="1463" t="n"/>
      <c r="C98" s="1464" t="inlineStr">
        <is>
          <t>● CHECK LANDING JT THREADS, CLEAN, DOPE &amp; INSTALL CLEAN PROTECTORS ON PIN &amp; BOX</t>
        </is>
      </c>
      <c r="D98" s="1464" t="n"/>
      <c r="E98" s="1464" t="n"/>
      <c r="F98" s="1464" t="n"/>
      <c r="G98" s="1464" t="n"/>
      <c r="H98" s="1464" t="n"/>
      <c r="I98" s="1464" t="n"/>
      <c r="J98" s="1464" t="n"/>
      <c r="K98" s="1464" t="n"/>
      <c r="L98" s="1464" t="n"/>
    </row>
    <row r="99" ht="15" customHeight="1" s="862">
      <c r="A99" s="1455" t="n">
        <v>33</v>
      </c>
      <c r="B99" s="1467" t="n"/>
      <c r="C99" s="1468" t="inlineStr">
        <is>
          <t>N/D BOP'S AS PER WELLHEAD PROCEDURE.</t>
        </is>
      </c>
      <c r="D99" s="1468" t="n"/>
      <c r="E99" s="1468" t="n"/>
      <c r="F99" s="1468" t="n"/>
      <c r="G99" s="1468" t="n"/>
      <c r="H99" s="1468" t="n"/>
      <c r="I99" s="1468" t="n"/>
      <c r="J99" s="1468" t="n"/>
      <c r="K99" s="1468" t="n"/>
      <c r="L99" s="1467" t="n"/>
    </row>
    <row r="100" ht="15" customHeight="1" s="862">
      <c r="A100" s="1455" t="n">
        <v>34</v>
      </c>
      <c r="B100" s="1467" t="n"/>
      <c r="C100" s="1468" t="inlineStr">
        <is>
          <t>N/U XMAS TREE &amp; TEST TBG HGR CAVITY AS PER PROCEDURE.</t>
        </is>
      </c>
      <c r="D100" s="1468" t="n"/>
      <c r="E100" s="1468" t="n"/>
      <c r="F100" s="1468" t="n"/>
      <c r="G100" s="1468" t="n"/>
      <c r="H100" s="1468" t="n"/>
      <c r="I100" s="1468" t="n"/>
      <c r="J100" s="1468" t="n"/>
      <c r="K100" s="1468" t="n"/>
      <c r="L100" s="1464" t="n"/>
    </row>
    <row r="101" ht="15" customHeight="1" s="862">
      <c r="A101" s="1455" t="n"/>
      <c r="B101" s="1467" t="n"/>
      <c r="C101" s="1472" t="inlineStr">
        <is>
          <t xml:space="preserve">● TEST THE CONTROL LINE AGAINST THE SAFETY VALVE TO 5000PSI/15 MINS AND ENSURE THE INDICATIONS OF OPENING OF SAFETY VALVE (STROKES) ARE VERY CLEAR. </t>
        </is>
      </c>
      <c r="L101" s="1464" t="n"/>
    </row>
    <row r="102" ht="15" customHeight="1" s="862">
      <c r="A102" s="1455" t="n"/>
      <c r="B102" s="1467" t="n"/>
      <c r="L102" s="1464" t="n"/>
    </row>
    <row r="103" ht="19.5" customHeight="1" s="862">
      <c r="A103" s="1455" t="n"/>
      <c r="B103" s="1467" t="n"/>
      <c r="C103" s="1472" t="inlineStr">
        <is>
          <t>● INSTALLATION &amp; TESTING THE TUBING HANGER AND X-TREE WILL BE MADE AS PER WELLHEAD MANUFACTURER PROCEDURE AND THEIR SERVICE ENGINEER RECOMMENDATIONS</t>
        </is>
      </c>
      <c r="L103" s="1464" t="n"/>
    </row>
    <row r="104" ht="15" customHeight="1" s="862">
      <c r="A104" s="1455" t="n"/>
      <c r="B104" s="1467" t="n"/>
      <c r="L104" s="1464" t="n"/>
    </row>
    <row r="105" ht="15" customHeight="1" s="862">
      <c r="A105" s="1455" t="n"/>
      <c r="B105" s="1467" t="n"/>
      <c r="C105" s="1464" t="inlineStr">
        <is>
          <t xml:space="preserve">● WELLHEAD ENGINEER TO ENSURE THE CLEANING OF THE PORT DURING TREE INSTALLATION. </t>
        </is>
      </c>
      <c r="D105" s="1464" t="n"/>
      <c r="E105" s="1464" t="n"/>
      <c r="F105" s="1464" t="n"/>
      <c r="G105" s="1464" t="n"/>
      <c r="H105" s="1464" t="n"/>
      <c r="I105" s="1464" t="n"/>
      <c r="J105" s="1464" t="n"/>
      <c r="K105" s="1464" t="n"/>
      <c r="L105" s="1473" t="n"/>
    </row>
    <row r="106" ht="15" customHeight="1" s="862">
      <c r="A106" s="1455" t="n"/>
      <c r="B106" s="1474" t="n"/>
      <c r="C106" s="1473" t="inlineStr">
        <is>
          <t xml:space="preserve">TEST ALL XMAS TREE COMPONENTS AS PER WELLHEAD ENGINEER PROCEDURE. </t>
        </is>
      </c>
      <c r="D106" s="1473" t="n"/>
      <c r="E106" s="1473" t="n"/>
      <c r="F106" s="1473" t="n"/>
      <c r="G106" s="1473" t="n"/>
      <c r="H106" s="1473" t="n"/>
      <c r="I106" s="1473" t="n"/>
      <c r="J106" s="1473" t="n"/>
      <c r="K106" s="1473" t="n"/>
      <c r="L106" s="1474" t="n"/>
    </row>
    <row r="107" ht="15" customFormat="1" customHeight="1" s="1475">
      <c r="A107" s="1455" t="n">
        <v>35</v>
      </c>
      <c r="B107" s="1467" t="n"/>
      <c r="C107" s="1467" t="inlineStr">
        <is>
          <t>REMOVE TEST PLUG AND INSTALL NRV</t>
        </is>
      </c>
      <c r="D107" s="1467" t="n"/>
      <c r="E107" s="1467" t="n"/>
      <c r="F107" s="1467" t="n"/>
      <c r="G107" s="1467" t="n"/>
      <c r="H107" s="1467" t="n"/>
      <c r="I107" s="1467" t="n"/>
      <c r="J107" s="1467" t="n"/>
      <c r="K107" s="1467" t="n"/>
      <c r="L107" s="1467" t="n"/>
    </row>
    <row r="108" ht="15" customFormat="1" customHeight="1" s="1475">
      <c r="A108" s="1455" t="n">
        <v>36</v>
      </c>
      <c r="B108" s="1467" t="n"/>
      <c r="C108" s="1467" t="inlineStr">
        <is>
          <t>SECURE WELL &amp; RELEASE RIG AS PER ADM</t>
        </is>
      </c>
      <c r="D108" s="1467" t="n"/>
      <c r="E108" s="1467" t="n"/>
      <c r="F108" s="1467" t="n"/>
      <c r="G108" s="1467" t="n"/>
      <c r="H108" s="1467" t="n"/>
      <c r="I108" s="1467" t="n"/>
      <c r="J108" s="1467" t="n"/>
      <c r="K108" s="1467" t="n"/>
      <c r="L108" s="1467" t="n"/>
    </row>
    <row r="109" ht="15" customHeight="1" s="862">
      <c r="A109" s="1476" t="n"/>
      <c r="B109" s="1474" t="n"/>
      <c r="C109" s="1474" t="n"/>
      <c r="D109" s="1474" t="n"/>
      <c r="E109" s="1474" t="n"/>
      <c r="F109" s="1474" t="n"/>
      <c r="G109" s="1474" t="n"/>
      <c r="H109" s="1474" t="n"/>
      <c r="I109" s="1474" t="n"/>
      <c r="J109" s="1474" t="n"/>
      <c r="K109" s="1474" t="n"/>
      <c r="L109" s="1474" t="n"/>
    </row>
    <row r="110" ht="14.25" customHeight="1" s="862">
      <c r="A110" s="1477" t="n"/>
      <c r="B110" s="1478" t="n"/>
      <c r="C110" s="1479" t="n"/>
      <c r="J110" s="1478" t="n"/>
      <c r="K110" s="1478" t="n"/>
    </row>
    <row r="111" ht="14.25" customHeight="1" s="862">
      <c r="A111" s="1477" t="n"/>
      <c r="B111" s="1478" t="n"/>
      <c r="C111" s="1478" t="n"/>
      <c r="D111" s="1478" t="n"/>
      <c r="E111" s="1478" t="n"/>
      <c r="F111" s="1478" t="n"/>
      <c r="G111" s="1478" t="n"/>
      <c r="H111" s="1478" t="n"/>
      <c r="I111" s="1478" t="n"/>
      <c r="J111" s="1478" t="n"/>
      <c r="K111" s="1478" t="n"/>
    </row>
    <row r="112" ht="14.25" customHeight="1" s="862">
      <c r="A112" s="1477" t="n"/>
      <c r="B112" s="1478" t="n"/>
      <c r="C112" s="1478" t="n"/>
      <c r="D112" s="1478" t="n"/>
      <c r="E112" s="1478" t="n"/>
      <c r="F112" s="1478" t="n"/>
      <c r="G112" s="1478" t="n"/>
      <c r="H112" s="1478" t="n"/>
      <c r="I112" s="1478" t="n"/>
      <c r="J112" s="1478" t="n"/>
      <c r="K112" s="1478" t="n"/>
    </row>
    <row r="117" ht="14.25" customHeight="1" s="862">
      <c r="A117" s="1477" t="n"/>
      <c r="B117" s="1478" t="n"/>
      <c r="C117" s="1478" t="n"/>
      <c r="D117" s="1478" t="n"/>
      <c r="E117" s="1478" t="n"/>
      <c r="F117" s="1478" t="n"/>
      <c r="G117" s="1478" t="n"/>
      <c r="H117" s="1478" t="n"/>
      <c r="I117" s="1478" t="n"/>
      <c r="J117" s="1478" t="n"/>
      <c r="K117" s="1478" t="n"/>
    </row>
  </sheetData>
  <mergeCells count="51">
    <mergeCell ref="I47:K47"/>
    <mergeCell ref="C110:I110"/>
    <mergeCell ref="A25:L25"/>
    <mergeCell ref="I66:K66"/>
    <mergeCell ref="B7:L7"/>
    <mergeCell ref="C44:K44"/>
    <mergeCell ref="C82:L82"/>
    <mergeCell ref="F37:I37"/>
    <mergeCell ref="I43:K43"/>
    <mergeCell ref="A18:L18"/>
    <mergeCell ref="A27:L27"/>
    <mergeCell ref="I58:K58"/>
    <mergeCell ref="A21:L21"/>
    <mergeCell ref="F60:L60"/>
    <mergeCell ref="A26:L26"/>
    <mergeCell ref="F49:L49"/>
    <mergeCell ref="C59:K59"/>
    <mergeCell ref="B12:L12"/>
    <mergeCell ref="I62:K62"/>
    <mergeCell ref="A15:L16"/>
    <mergeCell ref="C76:K76"/>
    <mergeCell ref="K37:L39"/>
    <mergeCell ref="F64:L64"/>
    <mergeCell ref="B11:L11"/>
    <mergeCell ref="A23:L23"/>
    <mergeCell ref="C101:K102"/>
    <mergeCell ref="C103:K104"/>
    <mergeCell ref="K32:L34"/>
    <mergeCell ref="A22:L22"/>
    <mergeCell ref="A17:L17"/>
    <mergeCell ref="I35:K35"/>
    <mergeCell ref="B14:L14"/>
    <mergeCell ref="F68:L68"/>
    <mergeCell ref="B8:L8"/>
    <mergeCell ref="A20:L20"/>
    <mergeCell ref="B13:L13"/>
    <mergeCell ref="I50:K50"/>
    <mergeCell ref="A19:L19"/>
    <mergeCell ref="F52:L53"/>
    <mergeCell ref="I31:K31"/>
    <mergeCell ref="B10:L10"/>
    <mergeCell ref="C56:K57"/>
    <mergeCell ref="F33:I33"/>
    <mergeCell ref="C41:K42"/>
    <mergeCell ref="B9:L9"/>
    <mergeCell ref="F45:L45"/>
    <mergeCell ref="A24:L24"/>
    <mergeCell ref="C75:L75"/>
    <mergeCell ref="B6:L6"/>
    <mergeCell ref="I70:K70"/>
    <mergeCell ref="F74:K7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140" zoomScaleNormal="55" zoomScalePageLayoutView="140" workbookViewId="0">
      <selection pane="topLeft" activeCell="A16" activeCellId="0" sqref="A11:S69"/>
    </sheetView>
  </sheetViews>
  <sheetFormatPr baseColWidth="8" defaultColWidth="8.78125" defaultRowHeight="12.75" customHeight="0" zeroHeight="0" outlineLevelRow="0"/>
  <cols>
    <col width="29.33" customWidth="1" style="1480" min="1" max="1"/>
    <col width="78.22" customWidth="1" style="1481" min="2" max="2"/>
    <col width="20.22" customWidth="1" style="1480" min="3" max="3"/>
    <col width="27.11" customWidth="1" style="1482" min="4" max="4"/>
    <col width="26.67" customWidth="1" style="1482" min="5" max="5"/>
    <col width="33.22" customWidth="1" style="1482" min="6" max="6"/>
    <col width="33.44" customWidth="1" style="1482" min="7" max="7"/>
    <col width="35.78" customWidth="1" style="1482" min="8" max="8"/>
    <col width="18.78" customWidth="1" style="1482" min="9" max="9"/>
    <col width="19.67" customWidth="1" style="1482" min="10" max="10"/>
    <col width="6.67" customWidth="1" style="1482" min="11" max="11"/>
    <col hidden="1" width="8.779999999999999" customWidth="1" style="1482" min="12" max="13"/>
    <col hidden="1" width="10.16" customWidth="1" style="1482" min="14" max="14"/>
    <col width="47.45" customWidth="1" style="1482" min="15" max="15"/>
    <col width="17.66" customWidth="1" style="1482" min="16" max="16"/>
    <col width="8.779999999999999" customWidth="1" style="1482" min="17" max="16384"/>
  </cols>
  <sheetData>
    <row r="1" ht="39.75" customHeight="1" s="862">
      <c r="A1" s="1483" t="n"/>
      <c r="B1" s="1484" t="inlineStr">
        <is>
          <t>1 of 1</t>
        </is>
      </c>
      <c r="C1" s="1485" t="inlineStr">
        <is>
          <t xml:space="preserve">Completion Runninng Tally </t>
        </is>
      </c>
      <c r="D1" s="942" t="n"/>
      <c r="E1" s="942" t="n"/>
      <c r="F1" s="942" t="n"/>
      <c r="G1" s="870" t="n"/>
      <c r="H1" s="1486" t="n"/>
      <c r="I1" s="1487" t="n"/>
    </row>
    <row r="2" ht="39.75" customHeight="1" s="862">
      <c r="A2" s="1488" t="n"/>
      <c r="B2" s="1484" t="n"/>
      <c r="C2" s="1488" t="inlineStr">
        <is>
          <t>CLASSIFICATION</t>
        </is>
      </c>
      <c r="D2" s="1489" t="inlineStr">
        <is>
          <t>DOCUMENT LEVEL</t>
        </is>
      </c>
      <c r="E2" s="1490" t="inlineStr">
        <is>
          <t>REVISION NUMBER</t>
        </is>
      </c>
      <c r="F2" s="1490" t="inlineStr">
        <is>
          <t>ISSUE DATE</t>
        </is>
      </c>
      <c r="G2" s="1490" t="inlineStr">
        <is>
          <t>PREPARED BY</t>
        </is>
      </c>
      <c r="H2" s="1491" t="inlineStr">
        <is>
          <t>APPROVAL</t>
        </is>
      </c>
      <c r="I2" s="1487" t="n"/>
    </row>
    <row r="3" ht="39.75" customHeight="1" s="862">
      <c r="A3" s="1492" t="inlineStr">
        <is>
          <t>AE- COMP -OEPS-L4-090</t>
        </is>
      </c>
      <c r="B3" s="1484" t="n"/>
      <c r="C3" s="1483" t="inlineStr">
        <is>
          <t>CONTROLLED</t>
        </is>
      </c>
      <c r="D3" s="1493" t="inlineStr">
        <is>
          <t>L5</t>
        </is>
      </c>
      <c r="E3" s="1494" t="inlineStr">
        <is>
          <t>FINAL</t>
        </is>
      </c>
      <c r="F3" s="1495" t="n">
        <v>43382</v>
      </c>
      <c r="G3" s="1494" t="inlineStr">
        <is>
          <t>WCT UAE</t>
        </is>
      </c>
      <c r="H3" s="1496" t="inlineStr">
        <is>
          <t>WCT TWIC</t>
        </is>
      </c>
      <c r="I3" s="1487" t="n"/>
      <c r="K3" s="1497" t="n"/>
    </row>
    <row r="4" ht="39.75" customHeight="1" s="862">
      <c r="A4" s="1498" t="n"/>
      <c r="B4" s="949" t="n"/>
      <c r="C4" s="949" t="n"/>
      <c r="D4" s="949" t="n"/>
      <c r="E4" s="949" t="n"/>
      <c r="F4" s="949" t="n"/>
      <c r="G4" s="949" t="n"/>
      <c r="H4" s="1150" t="n"/>
      <c r="I4" s="1499" t="n"/>
      <c r="O4" s="1500" t="n"/>
    </row>
    <row r="5" ht="97.5" customHeight="1" s="862">
      <c r="A5" s="1501" t="inlineStr">
        <is>
          <t xml:space="preserve">Customer </t>
        </is>
      </c>
      <c r="B5" s="1502">
        <f>_xlfn.CONCAT('MS2'!C2:D2)</f>
        <v/>
      </c>
      <c r="C5" s="1501" t="inlineStr">
        <is>
          <t xml:space="preserve">Start Date </t>
        </is>
      </c>
      <c r="D5" s="1503" t="n">
        <v>46183</v>
      </c>
      <c r="E5" s="1504" t="inlineStr">
        <is>
          <t xml:space="preserve">Completion Type </t>
        </is>
      </c>
      <c r="F5" s="1505" t="inlineStr">
        <is>
          <t>3-1/2" Single Oil Producer, Alloy-28 Tubing, 3-1/2" TRSV,Packer, W/
Gas Lift, W/ Actuated Wellhead, Y-Shape</t>
        </is>
      </c>
      <c r="G5" s="1504" t="inlineStr">
        <is>
          <t>Co.man Representative</t>
        </is>
      </c>
      <c r="H5" s="1506" t="inlineStr">
        <is>
          <t>IFEANYI / RASHED EASA</t>
        </is>
      </c>
      <c r="I5" s="1499" t="n"/>
    </row>
    <row r="6" ht="39.75" customHeight="1" s="862">
      <c r="A6" s="1501" t="inlineStr">
        <is>
          <t xml:space="preserve">Rig Name </t>
        </is>
      </c>
      <c r="B6" s="1502">
        <f>'MS2'!I8</f>
        <v/>
      </c>
      <c r="C6" s="1501" t="inlineStr">
        <is>
          <t xml:space="preserve">Field Name </t>
        </is>
      </c>
      <c r="D6" s="1507" t="inlineStr">
        <is>
          <t>BAB</t>
        </is>
      </c>
      <c r="E6" s="1501" t="inlineStr">
        <is>
          <t>Rig Type</t>
        </is>
      </c>
      <c r="F6" s="1508" t="inlineStr">
        <is>
          <t>LAND RIG</t>
        </is>
      </c>
      <c r="G6" s="1509" t="inlineStr">
        <is>
          <t xml:space="preserve">ADNOC Eng. </t>
        </is>
      </c>
      <c r="H6" s="1510" t="inlineStr">
        <is>
          <t xml:space="preserve">Mariam Rashed Alnuaimi </t>
        </is>
      </c>
      <c r="I6" s="1499" t="n"/>
      <c r="O6" s="1511" t="n"/>
      <c r="P6" s="1511" t="n"/>
    </row>
    <row r="7" ht="39.75" customHeight="1" s="862">
      <c r="A7" s="1501" t="inlineStr">
        <is>
          <t xml:space="preserve">Well Name </t>
        </is>
      </c>
      <c r="B7" s="1502">
        <f>'MS2'!I9</f>
        <v/>
      </c>
      <c r="C7" s="1501" t="inlineStr">
        <is>
          <t xml:space="preserve">Rig Location </t>
        </is>
      </c>
      <c r="D7" s="1512" t="inlineStr">
        <is>
          <t>ABU DHABI</t>
        </is>
      </c>
      <c r="E7" s="1513" t="inlineStr">
        <is>
          <t xml:space="preserve">Drilling Enginner </t>
        </is>
      </c>
      <c r="F7" s="1514" t="n"/>
      <c r="G7" s="1515" t="inlineStr">
        <is>
          <t xml:space="preserve">WFD Eng. </t>
        </is>
      </c>
      <c r="H7" s="1516">
        <f t="array" ref="H7:K7">'MS2'!F6:I6</f>
        <v/>
      </c>
      <c r="I7" s="1517" t="n">
        <v>0</v>
      </c>
      <c r="J7" s="1482" t="n">
        <v>0</v>
      </c>
      <c r="K7" s="1482" t="n">
        <v>0</v>
      </c>
      <c r="O7" s="1511" t="n"/>
      <c r="P7" s="1511" t="n"/>
    </row>
    <row r="8" ht="39.75" customFormat="1" customHeight="1" s="1328">
      <c r="A8" s="1518" t="inlineStr">
        <is>
          <t>Top Of Packr</t>
        </is>
      </c>
      <c r="B8" s="1519">
        <f>G175</f>
        <v/>
      </c>
      <c r="C8" s="1520" t="n"/>
      <c r="D8" s="1521" t="n"/>
      <c r="E8" s="1522" t="n"/>
      <c r="F8" s="1521" t="n"/>
      <c r="G8" s="1523" t="n"/>
      <c r="H8" s="1524" t="n"/>
      <c r="O8" s="1525" t="n"/>
      <c r="P8" s="1525" t="n"/>
    </row>
    <row r="9" ht="39.75" customHeight="1" s="862">
      <c r="A9" s="1518" t="inlineStr">
        <is>
          <t>Top Of Packr to Top of Element</t>
        </is>
      </c>
      <c r="B9" s="1526">
        <f>B8+2.75</f>
        <v/>
      </c>
      <c r="C9" s="1501" t="inlineStr">
        <is>
          <t>TOP DRIVE Wt.</t>
        </is>
      </c>
      <c r="D9" s="1527" t="inlineStr">
        <is>
          <t>5,000 LBS</t>
        </is>
      </c>
      <c r="E9" s="1504" t="inlineStr">
        <is>
          <t xml:space="preserve">PUW </t>
        </is>
      </c>
      <c r="F9" s="1528" t="n"/>
      <c r="G9" s="1504" t="inlineStr">
        <is>
          <t xml:space="preserve">Tubing Size, Weight, Grade </t>
        </is>
      </c>
      <c r="H9" s="1529" t="inlineStr">
        <is>
          <t>3-1/2" TUBING 9.2 LB/FT ALLOY 28 TSH BL</t>
        </is>
      </c>
      <c r="O9" s="1530" t="n"/>
      <c r="P9" s="1511" t="n"/>
    </row>
    <row r="10" ht="39.75" customHeight="1" s="862">
      <c r="A10" s="1518" t="inlineStr">
        <is>
          <t>Top of Packr to Top of CTR</t>
        </is>
      </c>
      <c r="B10" s="1531">
        <f>B9+5.98</f>
        <v/>
      </c>
      <c r="C10" s="1501" t="inlineStr">
        <is>
          <t>7" CASING COLLAR</t>
        </is>
      </c>
      <c r="D10" s="1532" t="inlineStr">
        <is>
          <t>6863.71' -6906.28'</t>
        </is>
      </c>
      <c r="E10" s="1501" t="inlineStr">
        <is>
          <t>SOW</t>
        </is>
      </c>
      <c r="F10" s="1533" t="n"/>
      <c r="G10" s="1501" t="inlineStr">
        <is>
          <t xml:space="preserve">Tubing Connection </t>
        </is>
      </c>
      <c r="H10" s="1534" t="inlineStr">
        <is>
          <t xml:space="preserve">TSH BLUE </t>
        </is>
      </c>
      <c r="I10" s="1500" t="n"/>
      <c r="O10" s="1530" t="n"/>
      <c r="P10" s="1511" t="n"/>
    </row>
    <row r="11" ht="39.75" customHeight="1" s="862">
      <c r="A11" s="1518" t="inlineStr">
        <is>
          <t>length of CTR Target</t>
        </is>
      </c>
      <c r="B11" s="1531">
        <f>B10+2</f>
        <v/>
      </c>
      <c r="C11" s="1535" t="inlineStr">
        <is>
          <t>Packer Away From Collar</t>
        </is>
      </c>
      <c r="D11" s="898" t="n"/>
      <c r="E11" s="1536">
        <f>I2-B9</f>
        <v/>
      </c>
      <c r="F11" s="1537" t="n"/>
      <c r="G11" s="1538" t="inlineStr">
        <is>
          <t>M/UP LOSS</t>
        </is>
      </c>
      <c r="H11" s="1539" t="n">
        <v>0.301</v>
      </c>
      <c r="I11" s="1540" t="n"/>
      <c r="O11" s="1499" t="n"/>
    </row>
    <row r="12" ht="39.75" customHeight="1" s="862">
      <c r="A12" s="1518" t="inlineStr">
        <is>
          <t>Top of Packer to PIP Tag</t>
        </is>
      </c>
      <c r="B12" s="1531">
        <f>B8+8.68</f>
        <v/>
      </c>
      <c r="C12" s="1541" t="n"/>
      <c r="D12" s="1542" t="n"/>
      <c r="E12" s="1542" t="n"/>
      <c r="F12" s="1542" t="n"/>
      <c r="G12" s="1538" t="inlineStr">
        <is>
          <t>3 1/2" V.TOP 9.2 ,L80</t>
        </is>
      </c>
      <c r="H12" s="1539" t="inlineStr">
        <is>
          <t xml:space="preserve">3 1/2" V.TOP 9.2 ,L80 TUBING </t>
        </is>
      </c>
      <c r="O12" s="1499" t="n"/>
    </row>
    <row r="13" ht="72.75" customFormat="1" customHeight="1" s="1543">
      <c r="A13" s="1544" t="inlineStr">
        <is>
          <t xml:space="preserve">Run No </t>
        </is>
      </c>
      <c r="B13" s="1544" t="n"/>
      <c r="C13" s="1544" t="inlineStr">
        <is>
          <t>Item Length [ft]</t>
        </is>
      </c>
      <c r="D13" s="1545" t="inlineStr">
        <is>
          <t>Net Length [ft]</t>
        </is>
      </c>
      <c r="E13" s="1546" t="inlineStr">
        <is>
          <t>Cum Length [ft]</t>
        </is>
      </c>
      <c r="F13" s="1546" t="inlineStr">
        <is>
          <t>Bottom Depth [ft]</t>
        </is>
      </c>
      <c r="G13" s="1546" t="inlineStr">
        <is>
          <t>Top Depth [ft]</t>
        </is>
      </c>
      <c r="H13" s="1547" t="inlineStr">
        <is>
          <t xml:space="preserve">Assembly number and equipment details </t>
        </is>
      </c>
      <c r="I13" s="1548" t="n"/>
    </row>
    <row r="14" ht="123" customFormat="1" customHeight="1" s="1549">
      <c r="A14" s="1550" t="inlineStr">
        <is>
          <t>A</t>
        </is>
      </c>
      <c r="B14" s="1551" t="inlineStr">
        <is>
          <t>UPPER CONN. 3-1/2" VAM TOP 9.2#PPF BOX VM 28 110 KSI
DESCRIPTION: WIRELINE ENTRY GUIDE
SN: 16339547-10-008
PN 2996481
SAP: 130010036277
SUPPLIER: WEATHERFORD</t>
        </is>
      </c>
      <c r="C14" s="1552" t="n">
        <v>0.6</v>
      </c>
      <c r="D14" s="1553">
        <f>C14</f>
        <v/>
      </c>
      <c r="E14" s="1554">
        <f>D14</f>
        <v/>
      </c>
      <c r="F14" s="1555" t="n">
        <v>11538.89</v>
      </c>
      <c r="G14" s="1555">
        <f>F14-D14</f>
        <v/>
      </c>
      <c r="H14" s="1556">
        <f>F423</f>
        <v/>
      </c>
      <c r="I14" s="1557" t="n"/>
      <c r="J14" s="1558" t="n"/>
      <c r="K14" s="1005" t="n"/>
      <c r="L14" s="1005" t="n"/>
      <c r="O14" s="1559" t="n"/>
    </row>
    <row r="15" ht="91.5" customFormat="1" customHeight="1" s="1549">
      <c r="A15" s="1148" t="n"/>
      <c r="B15" s="1551" t="inlineStr">
        <is>
          <t>UPPER CONN. 3-1/2" TSH BLUE BOX 9.2 PPF SN 28 110 KSI
DESCRIPTION: 5 FEET XOVER
SAP: 130005011340
SUPPLIER: TENARIS
LOWER CONN. 3-1/2" VAM TOP PIN 9.2 PPF SN 28 110 KSI</t>
        </is>
      </c>
      <c r="C15" s="1552" t="n">
        <v>4.96</v>
      </c>
      <c r="D15" s="1560">
        <f>C15</f>
        <v/>
      </c>
      <c r="E15" s="1561">
        <f>E14+D15</f>
        <v/>
      </c>
      <c r="F15" s="1561">
        <f>F14-D14</f>
        <v/>
      </c>
      <c r="G15" s="1562">
        <f>G14-D15</f>
        <v/>
      </c>
      <c r="H15" s="1563">
        <f>F14-H14</f>
        <v/>
      </c>
      <c r="I15" s="1564" t="n"/>
      <c r="J15" s="1558" t="n"/>
      <c r="K15" s="1565" t="n"/>
      <c r="L15" s="1565" t="n"/>
      <c r="O15" s="1566" t="n"/>
      <c r="P15" s="1567" t="n"/>
      <c r="Q15" s="1567" t="n"/>
      <c r="R15" s="1567" t="n"/>
      <c r="S15" s="1567" t="n"/>
      <c r="T15" s="1567" t="n"/>
    </row>
    <row r="16" ht="39" customFormat="1" customHeight="1" s="1549">
      <c r="A16" s="1568" t="inlineStr">
        <is>
          <t>JT.#1</t>
        </is>
      </c>
      <c r="B16" s="1568" t="inlineStr">
        <is>
          <t>3 1/2" TSH</t>
        </is>
      </c>
      <c r="C16" s="1569" t="n">
        <v>31</v>
      </c>
      <c r="D16" s="1570">
        <f>C16-0.301</f>
        <v/>
      </c>
      <c r="E16" s="1571">
        <f>E15+D16</f>
        <v/>
      </c>
      <c r="F16" s="1571">
        <f>F15-D15</f>
        <v/>
      </c>
      <c r="G16" s="1572">
        <f>G15-D16</f>
        <v/>
      </c>
      <c r="H16" s="1573" t="n"/>
      <c r="O16" s="1566" t="n"/>
      <c r="P16" s="1567" t="n"/>
      <c r="Q16" s="1567" t="n"/>
      <c r="R16" s="1567" t="n"/>
      <c r="S16" s="1567" t="n"/>
      <c r="T16" s="1567" t="n"/>
    </row>
    <row r="17" ht="39.75" customFormat="1" customHeight="1" s="1549">
      <c r="A17" s="1568" t="inlineStr">
        <is>
          <t>JT.#2</t>
        </is>
      </c>
      <c r="B17" s="1568" t="inlineStr">
        <is>
          <t>3 1/2" TSH</t>
        </is>
      </c>
      <c r="C17" s="1569" t="n">
        <v>31</v>
      </c>
      <c r="D17" s="1570">
        <f>C17-0.301</f>
        <v/>
      </c>
      <c r="E17" s="1571">
        <f>E16+D17</f>
        <v/>
      </c>
      <c r="F17" s="1571">
        <f>F16-D16</f>
        <v/>
      </c>
      <c r="G17" s="1572">
        <f>G16-D17</f>
        <v/>
      </c>
      <c r="H17" s="1574" t="n"/>
      <c r="O17" s="1566" t="n"/>
      <c r="P17" s="1567" t="n"/>
      <c r="Q17" s="1567" t="n"/>
      <c r="R17" s="1567" t="n"/>
      <c r="S17" s="1567" t="n"/>
      <c r="T17" s="1567" t="n"/>
    </row>
    <row r="18" ht="39.75" customFormat="1" customHeight="1" s="1549">
      <c r="A18" s="1568" t="inlineStr">
        <is>
          <t>JT.#3</t>
        </is>
      </c>
      <c r="B18" s="1568" t="inlineStr">
        <is>
          <t>3 1/2" TSH</t>
        </is>
      </c>
      <c r="C18" s="1569" t="n">
        <v>31</v>
      </c>
      <c r="D18" s="1570">
        <f>C18-0.301</f>
        <v/>
      </c>
      <c r="E18" s="1571">
        <f>E17+D18</f>
        <v/>
      </c>
      <c r="F18" s="1571">
        <f>F17-D17</f>
        <v/>
      </c>
      <c r="G18" s="1572">
        <f>G17-D18</f>
        <v/>
      </c>
      <c r="H18" s="1573" t="n"/>
      <c r="I18" s="1575" t="n"/>
      <c r="O18" s="1566" t="n"/>
      <c r="P18" s="1567" t="n"/>
      <c r="Q18" s="1567" t="n"/>
      <c r="R18" s="1567" t="n"/>
      <c r="S18" s="1567" t="n"/>
      <c r="T18" s="1567" t="n"/>
    </row>
    <row r="19" ht="39.75" customFormat="1" customHeight="1" s="1549">
      <c r="A19" s="1568" t="inlineStr">
        <is>
          <t>JT.#4</t>
        </is>
      </c>
      <c r="B19" s="1568" t="inlineStr">
        <is>
          <t>3 1/2" TSH</t>
        </is>
      </c>
      <c r="C19" s="1569" t="n">
        <v>31</v>
      </c>
      <c r="D19" s="1570">
        <f>C19-0.301</f>
        <v/>
      </c>
      <c r="E19" s="1571">
        <f>E18+D19</f>
        <v/>
      </c>
      <c r="F19" s="1571">
        <f>F18-D18</f>
        <v/>
      </c>
      <c r="G19" s="1572">
        <f>G18-D19</f>
        <v/>
      </c>
      <c r="H19" s="1574" t="n"/>
      <c r="O19" s="1566" t="n"/>
      <c r="P19" s="1567" t="n"/>
      <c r="Q19" s="1567" t="n"/>
      <c r="R19" s="1567" t="n"/>
      <c r="S19" s="1567" t="n"/>
      <c r="T19" s="1567" t="n"/>
    </row>
    <row r="20" ht="39.75" customFormat="1" customHeight="1" s="1549">
      <c r="A20" s="1568" t="inlineStr">
        <is>
          <t>JT.#5</t>
        </is>
      </c>
      <c r="B20" s="1568" t="inlineStr">
        <is>
          <t>3 1/2" TSH</t>
        </is>
      </c>
      <c r="C20" s="1569" t="n">
        <v>31</v>
      </c>
      <c r="D20" s="1570">
        <f>C20-0.301</f>
        <v/>
      </c>
      <c r="E20" s="1571">
        <f>E19+D20</f>
        <v/>
      </c>
      <c r="F20" s="1571">
        <f>F19-D19</f>
        <v/>
      </c>
      <c r="G20" s="1572">
        <f>G19-D20</f>
        <v/>
      </c>
      <c r="H20" s="1576" t="n"/>
      <c r="I20" s="1577" t="n"/>
      <c r="K20" s="1578" t="n"/>
      <c r="O20" s="1566" t="n"/>
      <c r="P20" s="1567" t="n"/>
      <c r="Q20" s="1567" t="n"/>
      <c r="R20" s="1567" t="n"/>
      <c r="S20" s="1567" t="n"/>
      <c r="T20" s="1567" t="n"/>
    </row>
    <row r="21" ht="39.75" customFormat="1" customHeight="1" s="1549">
      <c r="A21" s="1579" t="inlineStr">
        <is>
          <t>SP-01</t>
        </is>
      </c>
      <c r="B21" s="1580" t="inlineStr">
        <is>
          <t>UPPER CONN. 3-1/2" VAM TOP BOX 9.2 PPF SN 28 110 KSI
DESCRIPTION: 5 FEET XOVER
SAP: 130005011340
SUPPLIER: TENARIS
UPPER CONN. 3-1/2" TSH BLUE PIN 9.2 PPF SN 28 110 KSI</t>
        </is>
      </c>
      <c r="C21" s="1581" t="n">
        <v>5.18</v>
      </c>
      <c r="D21" s="1570">
        <f>C21-0.301</f>
        <v/>
      </c>
      <c r="E21" s="1571">
        <f>E20+D21</f>
        <v/>
      </c>
      <c r="F21" s="1571">
        <f>F20-D20</f>
        <v/>
      </c>
      <c r="G21" s="1572">
        <f>G20-D21</f>
        <v/>
      </c>
      <c r="H21" s="1576" t="n"/>
      <c r="I21" s="1577" t="n"/>
      <c r="K21" s="1578" t="n"/>
      <c r="O21" s="1566" t="n"/>
      <c r="P21" s="1567" t="n"/>
      <c r="Q21" s="1567" t="n"/>
      <c r="R21" s="1567" t="n"/>
      <c r="S21" s="1567" t="n"/>
      <c r="T21" s="1567" t="n"/>
    </row>
    <row r="22" ht="39.75" customFormat="1" customHeight="1" s="1549">
      <c r="A22" s="1582" t="n"/>
      <c r="B22" s="1580" t="inlineStr">
        <is>
          <t>UPPER CONN.
3-1/2 9.2 PPF, 110KSI VAM TOP BOX
DESCRIPTION:
PCKR, SWEL,6,3-1/2,A925, OIL
P/N: 2991712
S/N: RDT-UAE-1003629
SAP: 130010039426
SUPPLIER: WFD-REACTIVE
LOWER CONN.</t>
        </is>
      </c>
      <c r="C22" s="1581" t="n">
        <v>30.88</v>
      </c>
      <c r="D22" s="1570">
        <f>C22-0.301</f>
        <v/>
      </c>
      <c r="E22" s="1571">
        <f>E21+D22</f>
        <v/>
      </c>
      <c r="F22" s="1571">
        <f>F21-D21</f>
        <v/>
      </c>
      <c r="G22" s="1572">
        <f>G21-D22</f>
        <v/>
      </c>
      <c r="H22" s="1576" t="n"/>
      <c r="I22" s="1577" t="n"/>
      <c r="K22" s="1578" t="n"/>
      <c r="O22" s="1566" t="n"/>
      <c r="P22" s="1567" t="n"/>
      <c r="Q22" s="1567" t="n"/>
      <c r="R22" s="1567" t="n"/>
      <c r="S22" s="1567" t="n"/>
      <c r="T22" s="1567" t="n"/>
    </row>
    <row r="23" ht="39.75" customFormat="1" customHeight="1" s="1549">
      <c r="A23" s="1148" t="n"/>
      <c r="B23" s="1580" t="inlineStr">
        <is>
          <t>UPPER CONN . 3-1/2" TSH BLUE BOX 9.2 PPF SN 28 110 KSI
DESCRIPTION: 3 FEET XOVER
SAP: 130005011337
SUPPLIER: TENARIS
LOWER CONN. 3-1/2" VAM TOP PIN 9.2 PPF SN 28 110 KSI</t>
        </is>
      </c>
      <c r="C23" s="1581" t="n">
        <v>2.78</v>
      </c>
      <c r="D23" s="1570">
        <f>C23-0.301</f>
        <v/>
      </c>
      <c r="E23" s="1571">
        <f>E22+D23</f>
        <v/>
      </c>
      <c r="F23" s="1571">
        <f>F22-D22</f>
        <v/>
      </c>
      <c r="G23" s="1572">
        <f>G22-D23</f>
        <v/>
      </c>
      <c r="H23" s="1576" t="n"/>
      <c r="I23" s="1577" t="n"/>
      <c r="K23" s="1578" t="n"/>
      <c r="O23" s="1566" t="n"/>
      <c r="P23" s="1567" t="n"/>
      <c r="Q23" s="1567" t="n"/>
      <c r="R23" s="1567" t="n"/>
      <c r="S23" s="1567" t="n"/>
      <c r="T23" s="1567" t="n"/>
    </row>
    <row r="24" ht="39.75" customFormat="1" customHeight="1" s="1549">
      <c r="A24" s="1568" t="inlineStr">
        <is>
          <t>JT.#6</t>
        </is>
      </c>
      <c r="B24" s="1568" t="inlineStr">
        <is>
          <t>3 1/2" TSH</t>
        </is>
      </c>
      <c r="C24" s="1569" t="n">
        <v>31</v>
      </c>
      <c r="D24" s="1570">
        <f>C24-0.301</f>
        <v/>
      </c>
      <c r="E24" s="1571">
        <f>E23+D24</f>
        <v/>
      </c>
      <c r="F24" s="1571">
        <f>F23-D23</f>
        <v/>
      </c>
      <c r="G24" s="1572">
        <f>G23-D24</f>
        <v/>
      </c>
      <c r="H24" s="1573" t="n"/>
      <c r="O24" s="1566" t="n"/>
      <c r="P24" s="1567" t="n"/>
      <c r="Q24" s="1567" t="n"/>
      <c r="R24" s="1567" t="n"/>
      <c r="S24" s="1567" t="n"/>
      <c r="T24" s="1567" t="n"/>
    </row>
    <row r="25" ht="39.75" customFormat="1" customHeight="1" s="1549">
      <c r="A25" s="1568" t="inlineStr">
        <is>
          <t>JT.#7</t>
        </is>
      </c>
      <c r="B25" s="1568" t="inlineStr">
        <is>
          <t>3 1/2" TSH</t>
        </is>
      </c>
      <c r="C25" s="1569" t="n">
        <v>31</v>
      </c>
      <c r="D25" s="1570">
        <f>C25-0.301</f>
        <v/>
      </c>
      <c r="E25" s="1571">
        <f>E24+D25</f>
        <v/>
      </c>
      <c r="F25" s="1571">
        <f>F24-D24</f>
        <v/>
      </c>
      <c r="G25" s="1572">
        <f>G24-D25</f>
        <v/>
      </c>
      <c r="H25" s="1573" t="n"/>
      <c r="O25" s="1566" t="n"/>
      <c r="P25" s="1567" t="n"/>
      <c r="Q25" s="1567" t="n"/>
      <c r="R25" s="1567" t="n"/>
      <c r="S25" s="1567" t="n"/>
      <c r="T25" s="1567" t="n"/>
    </row>
    <row r="26" ht="39.75" customFormat="1" customHeight="1" s="1549">
      <c r="A26" s="1568" t="inlineStr">
        <is>
          <t>JT.#8</t>
        </is>
      </c>
      <c r="B26" s="1568" t="inlineStr">
        <is>
          <t>3 1/2" TSH</t>
        </is>
      </c>
      <c r="C26" s="1569" t="n">
        <v>31</v>
      </c>
      <c r="D26" s="1570">
        <f>C26-0.301</f>
        <v/>
      </c>
      <c r="E26" s="1571">
        <f>E25+D26</f>
        <v/>
      </c>
      <c r="F26" s="1571">
        <f>F25-D25</f>
        <v/>
      </c>
      <c r="G26" s="1572">
        <f>G25-D26</f>
        <v/>
      </c>
      <c r="H26" s="1573" t="n"/>
      <c r="O26" s="1566" t="n"/>
      <c r="P26" s="1567" t="n"/>
      <c r="Q26" s="1567" t="n"/>
      <c r="R26" s="1567" t="n"/>
      <c r="S26" s="1567" t="n"/>
      <c r="T26" s="1567" t="n"/>
    </row>
    <row r="27" ht="39" customFormat="1" customHeight="1" s="1549">
      <c r="A27" s="1568" t="inlineStr">
        <is>
          <t>JT.#9</t>
        </is>
      </c>
      <c r="B27" s="1568" t="inlineStr">
        <is>
          <t>3 1/2" TSH</t>
        </is>
      </c>
      <c r="C27" s="1569" t="n">
        <v>31</v>
      </c>
      <c r="D27" s="1570">
        <f>C27-0.301</f>
        <v/>
      </c>
      <c r="E27" s="1571">
        <f>E26+D27</f>
        <v/>
      </c>
      <c r="F27" s="1571">
        <f>F26-D26</f>
        <v/>
      </c>
      <c r="G27" s="1572">
        <f>G26-D27</f>
        <v/>
      </c>
      <c r="H27" s="1573" t="n"/>
      <c r="O27" s="1566" t="n"/>
      <c r="P27" s="1567" t="n"/>
      <c r="Q27" s="1567" t="n"/>
      <c r="R27" s="1567" t="n"/>
      <c r="S27" s="1567" t="n"/>
      <c r="T27" s="1567" t="n"/>
    </row>
    <row r="28" ht="39.75" customFormat="1" customHeight="1" s="1549">
      <c r="A28" s="1568" t="inlineStr">
        <is>
          <t>JT.#10</t>
        </is>
      </c>
      <c r="B28" s="1568" t="inlineStr">
        <is>
          <t>3 1/2" TSH</t>
        </is>
      </c>
      <c r="C28" s="1569" t="n">
        <v>31</v>
      </c>
      <c r="D28" s="1570">
        <f>C28-0.301</f>
        <v/>
      </c>
      <c r="E28" s="1571">
        <f>E27+D28</f>
        <v/>
      </c>
      <c r="F28" s="1571">
        <f>F27-D27</f>
        <v/>
      </c>
      <c r="G28" s="1572">
        <f>G27-D28</f>
        <v/>
      </c>
      <c r="H28" s="1573" t="n"/>
      <c r="O28" s="1566" t="n"/>
      <c r="P28" s="1567" t="n"/>
      <c r="Q28" s="1567" t="n"/>
      <c r="R28" s="1567" t="n"/>
      <c r="S28" s="1567" t="n"/>
      <c r="T28" s="1567" t="n"/>
    </row>
    <row r="29" ht="39.75" customFormat="1" customHeight="1" s="1549">
      <c r="A29" s="1568" t="inlineStr">
        <is>
          <t>JT.#11</t>
        </is>
      </c>
      <c r="B29" s="1568" t="inlineStr">
        <is>
          <t>3 1/2" TSH</t>
        </is>
      </c>
      <c r="C29" s="1569" t="n">
        <v>31</v>
      </c>
      <c r="D29" s="1570">
        <f>C29-0.301</f>
        <v/>
      </c>
      <c r="E29" s="1571">
        <f>E28+D29</f>
        <v/>
      </c>
      <c r="F29" s="1571">
        <f>F28-D28</f>
        <v/>
      </c>
      <c r="G29" s="1572">
        <f>G28-D29</f>
        <v/>
      </c>
      <c r="H29" s="1573" t="n"/>
      <c r="O29" s="1566" t="n"/>
    </row>
    <row r="30" ht="39.75" customFormat="1" customHeight="1" s="1549">
      <c r="A30" s="1568" t="inlineStr">
        <is>
          <t>JT.#12</t>
        </is>
      </c>
      <c r="B30" s="1568" t="inlineStr">
        <is>
          <t>3 1/2" TSH</t>
        </is>
      </c>
      <c r="C30" s="1569" t="n">
        <v>31</v>
      </c>
      <c r="D30" s="1570">
        <f>C30-0.301</f>
        <v/>
      </c>
      <c r="E30" s="1571">
        <f>E29+D30</f>
        <v/>
      </c>
      <c r="F30" s="1571">
        <f>F29-D29</f>
        <v/>
      </c>
      <c r="G30" s="1572">
        <f>G29-D30</f>
        <v/>
      </c>
      <c r="H30" s="1573" t="n"/>
      <c r="O30" s="1566" t="n"/>
    </row>
    <row r="31" ht="39.75" customFormat="1" customHeight="1" s="1549">
      <c r="A31" s="1568" t="inlineStr">
        <is>
          <t>JT.#13</t>
        </is>
      </c>
      <c r="B31" s="1568" t="inlineStr">
        <is>
          <t>3 1/2" TSH</t>
        </is>
      </c>
      <c r="C31" s="1569" t="n">
        <v>31</v>
      </c>
      <c r="D31" s="1570">
        <f>C31-0.301</f>
        <v/>
      </c>
      <c r="E31" s="1571">
        <f>E30+D31</f>
        <v/>
      </c>
      <c r="F31" s="1571">
        <f>F30-D30</f>
        <v/>
      </c>
      <c r="G31" s="1572">
        <f>G30-D31</f>
        <v/>
      </c>
      <c r="H31" s="1573" t="n"/>
      <c r="O31" s="1566" t="n"/>
    </row>
    <row r="32" ht="39.75" customFormat="1" customHeight="1" s="1549">
      <c r="A32" s="1568" t="inlineStr">
        <is>
          <t>JT.#14</t>
        </is>
      </c>
      <c r="B32" s="1568" t="inlineStr">
        <is>
          <t>3 1/2" TSH</t>
        </is>
      </c>
      <c r="C32" s="1569" t="n">
        <v>31</v>
      </c>
      <c r="D32" s="1570">
        <f>C32-0.301</f>
        <v/>
      </c>
      <c r="E32" s="1571">
        <f>E31+D32</f>
        <v/>
      </c>
      <c r="F32" s="1571">
        <f>F31-D31</f>
        <v/>
      </c>
      <c r="G32" s="1572">
        <f>G31-D32</f>
        <v/>
      </c>
      <c r="H32" s="1573" t="n"/>
    </row>
    <row r="33" ht="39.75" customFormat="1" customHeight="1" s="1549">
      <c r="A33" s="1568" t="inlineStr">
        <is>
          <t>JT.#15</t>
        </is>
      </c>
      <c r="B33" s="1568" t="inlineStr">
        <is>
          <t>3 1/2" TSH</t>
        </is>
      </c>
      <c r="C33" s="1569" t="n">
        <v>31</v>
      </c>
      <c r="D33" s="1570">
        <f>C33-0.301</f>
        <v/>
      </c>
      <c r="E33" s="1571">
        <f>E32+D33</f>
        <v/>
      </c>
      <c r="F33" s="1571">
        <f>F32-D32</f>
        <v/>
      </c>
      <c r="G33" s="1572">
        <f>G32-D33</f>
        <v/>
      </c>
      <c r="H33" s="1573" t="n"/>
    </row>
    <row r="34" ht="39.75" customFormat="1" customHeight="1" s="1549">
      <c r="A34" s="1583" t="inlineStr">
        <is>
          <t>B</t>
        </is>
      </c>
      <c r="B34" s="1584" t="inlineStr">
        <is>
          <t>UPPER CONN. 3-1/2" VAM TOP BOX 9.2 PPF SN 28 110 KSI
DESCRIPTION: 5 FEET XOVER
SAP: 130005011340
SUPPLIER: TENARIS
LOWER CONN. 3-1/2" TSH BLUE PIN 9.2 PPF SN 28 110 KSI</t>
        </is>
      </c>
      <c r="C34" s="1585" t="n">
        <v>5.18</v>
      </c>
      <c r="D34" s="1570">
        <f>C34-0.301</f>
        <v/>
      </c>
      <c r="E34" s="1571">
        <f>E33+D34</f>
        <v/>
      </c>
      <c r="F34" s="1571">
        <f>F33-D33</f>
        <v/>
      </c>
      <c r="G34" s="1572">
        <f>G33-D34</f>
        <v/>
      </c>
      <c r="H34" s="1573" t="n"/>
    </row>
    <row r="35" ht="39.75" customFormat="1" customHeight="1" s="1549">
      <c r="A35" s="1582" t="n"/>
      <c r="B35" s="1584" t="inlineStr">
        <is>
          <t>UPPER CONN. 3-1/2" SENTINEL PRIME BOX 9.2 PPF TX28-110 KSI
DESCRIPTION: 5 FEET XOVER
SAP: 130013006385
SUPPLIER: TBX
LOWER CONN. 3-1/2" VAM TOP PIN 9.2 PPF TX28- 110 KSI</t>
        </is>
      </c>
      <c r="C35" s="1585" t="n">
        <v>4.91</v>
      </c>
      <c r="D35" s="1570">
        <f>C35-0.301</f>
        <v/>
      </c>
      <c r="E35" s="1571">
        <f>E34+D35</f>
        <v/>
      </c>
      <c r="F35" s="1571">
        <f>F34-D34</f>
        <v/>
      </c>
      <c r="G35" s="1572">
        <f>G34-D35</f>
        <v/>
      </c>
      <c r="H35" s="1573" t="n"/>
    </row>
    <row r="36" ht="39.75" customFormat="1" customHeight="1" s="1549">
      <c r="A36" s="1582" t="n"/>
      <c r="B36" s="1584" t="inlineStr">
        <is>
          <t>UPPER CONN. 3-1/2" SENTINEL PRIME 9.2#PPF INC 925 BOX
DESCRIPTION: NINE ENERGY MULTICYCLE BARRIER DEVICE
7 CYCLES REMAINING
P/N: 3207251
S/N: 100 086 877
SAP: 130010036003 SUPPLIER: NINE ENERGY
LOWER CONN- 3 1/2 9.2 SENTINEL PRIME 9.2 PPF INC 925 PIN</t>
        </is>
      </c>
      <c r="C36" s="1585" t="n">
        <v>5.22</v>
      </c>
      <c r="D36" s="1570">
        <f>C36-0.301</f>
        <v/>
      </c>
      <c r="E36" s="1571">
        <f>E35+D36</f>
        <v/>
      </c>
      <c r="F36" s="1571">
        <f>F35-D35</f>
        <v/>
      </c>
      <c r="G36" s="1572">
        <f>G35-D36</f>
        <v/>
      </c>
      <c r="H36" s="1573" t="n"/>
    </row>
    <row r="37" ht="39.75" customFormat="1" customHeight="1" s="1549">
      <c r="A37" s="1582" t="n"/>
      <c r="B37" s="1584" t="inlineStr">
        <is>
          <t>UPPER CONN. 3-1/2" VAM TOP BOX 9.2 PPF TX28- 110 KSI
DESCRIPTION: 5 FEET XOVER
SAP: 130013006383
SUPPLIER: TBX
LOWER CONN -3-1/2" SENTINEL PRIME PIN 9.2 PPF TX28-110 KSI</t>
        </is>
      </c>
      <c r="C37" s="1585" t="n">
        <v>4.8</v>
      </c>
      <c r="D37" s="1570">
        <f>C37-0.301</f>
        <v/>
      </c>
      <c r="E37" s="1571">
        <f>E36+D37</f>
        <v/>
      </c>
      <c r="F37" s="1571">
        <f>F36-D36</f>
        <v/>
      </c>
      <c r="G37" s="1572">
        <f>G36-D37</f>
        <v/>
      </c>
      <c r="H37" s="1573" t="n"/>
    </row>
    <row r="38" ht="39.75" customFormat="1" customHeight="1" s="1549">
      <c r="A38" s="1148" t="n"/>
      <c r="B38" s="1584" t="inlineStr">
        <is>
          <t>UPPER CONN. 3-1/2" TSH BLUE BOX 9.2 PPF SN 28 110 KSI
DESCRIPTION: 10 FEET XOVER
SAP: 130005011444
SUPPLIER: TENARIS
LOWER CONN. 3-1/2" VAM TOP PIN 9.2 PPF SN 28 110 KSI</t>
        </is>
      </c>
      <c r="C38" s="1585" t="n">
        <v>9.83</v>
      </c>
      <c r="D38" s="1570">
        <f>C38-0.301</f>
        <v/>
      </c>
      <c r="E38" s="1571">
        <f>E37+D38</f>
        <v/>
      </c>
      <c r="F38" s="1571">
        <f>F37-D37</f>
        <v/>
      </c>
      <c r="G38" s="1572">
        <f>G37-D38</f>
        <v/>
      </c>
      <c r="H38" s="1573" t="n"/>
    </row>
    <row r="39" ht="39.75" customFormat="1" customHeight="1" s="1549">
      <c r="A39" s="1568" t="inlineStr">
        <is>
          <t>JT.#16</t>
        </is>
      </c>
      <c r="B39" s="1568" t="inlineStr">
        <is>
          <t>3 1/2" TSH</t>
        </is>
      </c>
      <c r="C39" s="1569" t="n">
        <v>31</v>
      </c>
      <c r="D39" s="1570">
        <f>C39-0.301</f>
        <v/>
      </c>
      <c r="E39" s="1571">
        <f>E38+D39</f>
        <v/>
      </c>
      <c r="F39" s="1571">
        <f>F38-D38</f>
        <v/>
      </c>
      <c r="G39" s="1572">
        <f>G38-D39</f>
        <v/>
      </c>
      <c r="H39" s="1573" t="n"/>
    </row>
    <row r="40" ht="39.75" customFormat="1" customHeight="1" s="1549">
      <c r="A40" s="1568" t="inlineStr">
        <is>
          <t>JT.#17</t>
        </is>
      </c>
      <c r="B40" s="1568" t="inlineStr">
        <is>
          <t>3 1/2" TSH</t>
        </is>
      </c>
      <c r="C40" s="1569" t="n">
        <v>31</v>
      </c>
      <c r="D40" s="1570">
        <f>C40-0.301</f>
        <v/>
      </c>
      <c r="E40" s="1571">
        <f>E39+D40</f>
        <v/>
      </c>
      <c r="F40" s="1571">
        <f>F39-D39</f>
        <v/>
      </c>
      <c r="G40" s="1572">
        <f>G39-D40</f>
        <v/>
      </c>
      <c r="H40" s="1573" t="n"/>
    </row>
    <row r="41" ht="39.75" customFormat="1" customHeight="1" s="1549">
      <c r="A41" s="1568" t="inlineStr">
        <is>
          <t>JT.#18</t>
        </is>
      </c>
      <c r="B41" s="1568" t="inlineStr">
        <is>
          <t>3 1/2" TSH</t>
        </is>
      </c>
      <c r="C41" s="1569" t="n">
        <v>31</v>
      </c>
      <c r="D41" s="1570">
        <f>C41-0.301</f>
        <v/>
      </c>
      <c r="E41" s="1571">
        <f>E40+D41</f>
        <v/>
      </c>
      <c r="F41" s="1571">
        <f>F40-D40</f>
        <v/>
      </c>
      <c r="G41" s="1572">
        <f>G40-D41</f>
        <v/>
      </c>
      <c r="H41" s="1573" t="n"/>
    </row>
    <row r="42" ht="39.75" customFormat="1" customHeight="1" s="1549">
      <c r="A42" s="1568" t="inlineStr">
        <is>
          <t>JT.#19</t>
        </is>
      </c>
      <c r="B42" s="1568" t="inlineStr">
        <is>
          <t>3 1/2" TSH</t>
        </is>
      </c>
      <c r="C42" s="1569" t="n">
        <v>31</v>
      </c>
      <c r="D42" s="1570">
        <f>C42-0.301</f>
        <v/>
      </c>
      <c r="E42" s="1571">
        <f>E41+D42</f>
        <v/>
      </c>
      <c r="F42" s="1571">
        <f>F41-D41</f>
        <v/>
      </c>
      <c r="G42" s="1572">
        <f>G41-D42</f>
        <v/>
      </c>
      <c r="H42" s="1573" t="n"/>
    </row>
    <row r="43" ht="39.75" customFormat="1" customHeight="1" s="1549">
      <c r="A43" s="1568" t="inlineStr">
        <is>
          <t>JT.#20</t>
        </is>
      </c>
      <c r="B43" s="1568" t="inlineStr">
        <is>
          <t>3 1/2" TSH</t>
        </is>
      </c>
      <c r="C43" s="1569" t="n">
        <v>31</v>
      </c>
      <c r="D43" s="1570">
        <f>C43-0.301</f>
        <v/>
      </c>
      <c r="E43" s="1571">
        <f>E42+D43</f>
        <v/>
      </c>
      <c r="F43" s="1571">
        <f>F42-D42</f>
        <v/>
      </c>
      <c r="G43" s="1572">
        <f>G42-D43</f>
        <v/>
      </c>
      <c r="H43" s="1573" t="n"/>
    </row>
    <row r="44" ht="39.75" customFormat="1" customHeight="1" s="1549">
      <c r="A44" s="1568" t="inlineStr">
        <is>
          <t>JT.#21</t>
        </is>
      </c>
      <c r="B44" s="1568" t="inlineStr">
        <is>
          <t>3 1/2" TSH</t>
        </is>
      </c>
      <c r="C44" s="1569" t="n">
        <v>31</v>
      </c>
      <c r="D44" s="1570">
        <f>C44-0.301</f>
        <v/>
      </c>
      <c r="E44" s="1571">
        <f>E43+D44</f>
        <v/>
      </c>
      <c r="F44" s="1571">
        <f>F43-D43</f>
        <v/>
      </c>
      <c r="G44" s="1572">
        <f>G43-D44</f>
        <v/>
      </c>
      <c r="H44" s="1573" t="n"/>
    </row>
    <row r="45" ht="39.75" customFormat="1" customHeight="1" s="1549">
      <c r="A45" s="1568" t="inlineStr">
        <is>
          <t>JT.#22</t>
        </is>
      </c>
      <c r="B45" s="1568" t="inlineStr">
        <is>
          <t>3 1/2" TSH</t>
        </is>
      </c>
      <c r="C45" s="1569" t="n">
        <v>31</v>
      </c>
      <c r="D45" s="1570">
        <f>C45-0.301</f>
        <v/>
      </c>
      <c r="E45" s="1571">
        <f>E44+D45</f>
        <v/>
      </c>
      <c r="F45" s="1571">
        <f>F44-D44</f>
        <v/>
      </c>
      <c r="G45" s="1572">
        <f>G44-D45</f>
        <v/>
      </c>
      <c r="H45" s="1573" t="n"/>
    </row>
    <row r="46" ht="39.75" customFormat="1" customHeight="1" s="1549">
      <c r="A46" s="1568" t="inlineStr">
        <is>
          <t>JT.#23</t>
        </is>
      </c>
      <c r="B46" s="1568" t="inlineStr">
        <is>
          <t>3 1/2" TSH</t>
        </is>
      </c>
      <c r="C46" s="1569" t="n">
        <v>31</v>
      </c>
      <c r="D46" s="1570">
        <f>C46-0.301</f>
        <v/>
      </c>
      <c r="E46" s="1571">
        <f>E45+D46</f>
        <v/>
      </c>
      <c r="F46" s="1571">
        <f>F45-D45</f>
        <v/>
      </c>
      <c r="G46" s="1572">
        <f>G45-D46</f>
        <v/>
      </c>
      <c r="H46" s="1573" t="n"/>
    </row>
    <row r="47" ht="39.75" customFormat="1" customHeight="1" s="1549">
      <c r="A47" s="1568" t="inlineStr">
        <is>
          <t>JT.#24</t>
        </is>
      </c>
      <c r="B47" s="1568" t="inlineStr">
        <is>
          <t>3 1/2" TSH</t>
        </is>
      </c>
      <c r="C47" s="1569" t="n">
        <v>31</v>
      </c>
      <c r="D47" s="1570">
        <f>C47-0.301</f>
        <v/>
      </c>
      <c r="E47" s="1571">
        <f>E46+D47</f>
        <v/>
      </c>
      <c r="F47" s="1571">
        <f>F46-D46</f>
        <v/>
      </c>
      <c r="G47" s="1572">
        <f>G46-D47</f>
        <v/>
      </c>
      <c r="H47" s="1573" t="n"/>
    </row>
    <row r="48" ht="39.75" customFormat="1" customHeight="1" s="1549">
      <c r="A48" s="1568" t="inlineStr">
        <is>
          <t>JT.#25</t>
        </is>
      </c>
      <c r="B48" s="1568" t="inlineStr">
        <is>
          <t>3 1/2" TSH</t>
        </is>
      </c>
      <c r="C48" s="1569" t="n">
        <v>31</v>
      </c>
      <c r="D48" s="1570">
        <f>C48-0.301</f>
        <v/>
      </c>
      <c r="E48" s="1571">
        <f>E47+D48</f>
        <v/>
      </c>
      <c r="F48" s="1571">
        <f>F47-D47</f>
        <v/>
      </c>
      <c r="G48" s="1572">
        <f>G47-D48</f>
        <v/>
      </c>
      <c r="H48" s="1573" t="n"/>
    </row>
    <row r="49" ht="39.75" customFormat="1" customHeight="1" s="1549">
      <c r="A49" s="1568" t="inlineStr">
        <is>
          <t>JT.#26</t>
        </is>
      </c>
      <c r="B49" s="1568" t="inlineStr">
        <is>
          <t>3 1/2" TSH</t>
        </is>
      </c>
      <c r="C49" s="1569" t="n">
        <v>31</v>
      </c>
      <c r="D49" s="1570">
        <f>C49-0.301</f>
        <v/>
      </c>
      <c r="E49" s="1571">
        <f>E48+D49</f>
        <v/>
      </c>
      <c r="F49" s="1571">
        <f>F48-D48</f>
        <v/>
      </c>
      <c r="G49" s="1572">
        <f>G48-D49</f>
        <v/>
      </c>
      <c r="H49" s="1573" t="n"/>
    </row>
    <row r="50" ht="39.75" customFormat="1" customHeight="1" s="1549">
      <c r="A50" s="1568" t="inlineStr">
        <is>
          <t>JT.#27</t>
        </is>
      </c>
      <c r="B50" s="1568" t="inlineStr">
        <is>
          <t>3 1/2" TSH</t>
        </is>
      </c>
      <c r="C50" s="1569" t="n">
        <v>31</v>
      </c>
      <c r="D50" s="1570">
        <f>C50-0.301</f>
        <v/>
      </c>
      <c r="E50" s="1571">
        <f>E49+D50</f>
        <v/>
      </c>
      <c r="F50" s="1571">
        <f>F49-D49</f>
        <v/>
      </c>
      <c r="G50" s="1572">
        <f>G49-D50</f>
        <v/>
      </c>
      <c r="H50" s="1573" t="n"/>
    </row>
    <row r="51" ht="39.75" customFormat="1" customHeight="1" s="1549">
      <c r="A51" s="1568" t="inlineStr">
        <is>
          <t>JT.#28</t>
        </is>
      </c>
      <c r="B51" s="1568" t="inlineStr">
        <is>
          <t>3 1/2" TSH</t>
        </is>
      </c>
      <c r="C51" s="1569" t="n">
        <v>31</v>
      </c>
      <c r="D51" s="1570">
        <f>C51-0.301</f>
        <v/>
      </c>
      <c r="E51" s="1571">
        <f>E50+D51</f>
        <v/>
      </c>
      <c r="F51" s="1571">
        <f>F50-D50</f>
        <v/>
      </c>
      <c r="G51" s="1572">
        <f>G50-D51</f>
        <v/>
      </c>
      <c r="H51" s="1573" t="n"/>
    </row>
    <row r="52" ht="39.75" customFormat="1" customHeight="1" s="1549">
      <c r="A52" s="1568" t="inlineStr">
        <is>
          <t>JT.#29</t>
        </is>
      </c>
      <c r="B52" s="1568" t="inlineStr">
        <is>
          <t>3 1/2" TSH</t>
        </is>
      </c>
      <c r="C52" s="1569" t="n">
        <v>31</v>
      </c>
      <c r="D52" s="1570">
        <f>C52-0.301</f>
        <v/>
      </c>
      <c r="E52" s="1571">
        <f>E51+D52</f>
        <v/>
      </c>
      <c r="F52" s="1571">
        <f>F51-D51</f>
        <v/>
      </c>
      <c r="G52" s="1572">
        <f>G51-D52</f>
        <v/>
      </c>
      <c r="H52" s="1573" t="n"/>
    </row>
    <row r="53" ht="39.75" customFormat="1" customHeight="1" s="1549">
      <c r="A53" s="1568" t="inlineStr">
        <is>
          <t>JT.#30</t>
        </is>
      </c>
      <c r="B53" s="1568" t="inlineStr">
        <is>
          <t>3 1/2" TSH</t>
        </is>
      </c>
      <c r="C53" s="1569" t="n">
        <v>31</v>
      </c>
      <c r="D53" s="1570">
        <f>C53-0.301</f>
        <v/>
      </c>
      <c r="E53" s="1571">
        <f>E52+D53</f>
        <v/>
      </c>
      <c r="F53" s="1571">
        <f>F52-D52</f>
        <v/>
      </c>
      <c r="G53" s="1572">
        <f>G52-D53</f>
        <v/>
      </c>
      <c r="H53" s="1573" t="n"/>
    </row>
    <row r="54" ht="39.75" customFormat="1" customHeight="1" s="1549">
      <c r="A54" s="1568" t="inlineStr">
        <is>
          <t>JT.#31</t>
        </is>
      </c>
      <c r="B54" s="1568" t="inlineStr">
        <is>
          <t>3 1/2" TSH</t>
        </is>
      </c>
      <c r="C54" s="1569" t="n">
        <v>31</v>
      </c>
      <c r="D54" s="1570">
        <f>C54-0.301</f>
        <v/>
      </c>
      <c r="E54" s="1571">
        <f>E53+D54</f>
        <v/>
      </c>
      <c r="F54" s="1571">
        <f>F53-D53</f>
        <v/>
      </c>
      <c r="G54" s="1572">
        <f>G53-D54</f>
        <v/>
      </c>
      <c r="H54" s="1573" t="n"/>
    </row>
    <row r="55" ht="39.75" customFormat="1" customHeight="1" s="1549">
      <c r="A55" s="1568" t="inlineStr">
        <is>
          <t>JT.#32</t>
        </is>
      </c>
      <c r="B55" s="1568" t="inlineStr">
        <is>
          <t>3 1/2" TSH</t>
        </is>
      </c>
      <c r="C55" s="1569" t="n">
        <v>31</v>
      </c>
      <c r="D55" s="1570">
        <f>C55-0.301</f>
        <v/>
      </c>
      <c r="E55" s="1571">
        <f>E54+D55</f>
        <v/>
      </c>
      <c r="F55" s="1571">
        <f>F54-D54</f>
        <v/>
      </c>
      <c r="G55" s="1572">
        <f>G54-D55</f>
        <v/>
      </c>
      <c r="H55" s="1573" t="n"/>
    </row>
    <row r="56" ht="39.75" customFormat="1" customHeight="1" s="1549">
      <c r="A56" s="1568" t="inlineStr">
        <is>
          <t>JT.#33</t>
        </is>
      </c>
      <c r="B56" s="1568" t="inlineStr">
        <is>
          <t>3 1/2" TSH</t>
        </is>
      </c>
      <c r="C56" s="1569" t="n">
        <v>31</v>
      </c>
      <c r="D56" s="1570">
        <f>C56-0.301</f>
        <v/>
      </c>
      <c r="E56" s="1571">
        <f>E55+D56</f>
        <v/>
      </c>
      <c r="F56" s="1571">
        <f>F55-D55</f>
        <v/>
      </c>
      <c r="G56" s="1572">
        <f>G55-D56</f>
        <v/>
      </c>
      <c r="H56" s="1573" t="n"/>
    </row>
    <row r="57" ht="39.75" customFormat="1" customHeight="1" s="1549">
      <c r="A57" s="1568" t="inlineStr">
        <is>
          <t>JT.#34</t>
        </is>
      </c>
      <c r="B57" s="1568" t="inlineStr">
        <is>
          <t>3 1/2" TSH</t>
        </is>
      </c>
      <c r="C57" s="1569" t="n">
        <v>31</v>
      </c>
      <c r="D57" s="1570">
        <f>C57-0.301</f>
        <v/>
      </c>
      <c r="E57" s="1571">
        <f>E56+D57</f>
        <v/>
      </c>
      <c r="F57" s="1571">
        <f>F56-D56</f>
        <v/>
      </c>
      <c r="G57" s="1572">
        <f>G56-D57</f>
        <v/>
      </c>
      <c r="H57" s="1573" t="n"/>
    </row>
    <row r="58" ht="39.75" customFormat="1" customHeight="1" s="1549">
      <c r="A58" s="1568" t="inlineStr">
        <is>
          <t>JT.#35</t>
        </is>
      </c>
      <c r="B58" s="1568" t="inlineStr">
        <is>
          <t>3 1/2" TSH</t>
        </is>
      </c>
      <c r="C58" s="1569" t="n">
        <v>31</v>
      </c>
      <c r="D58" s="1570">
        <f>C58-0.301</f>
        <v/>
      </c>
      <c r="E58" s="1571">
        <f>E57+D58</f>
        <v/>
      </c>
      <c r="F58" s="1571">
        <f>F57-D57</f>
        <v/>
      </c>
      <c r="G58" s="1572">
        <f>G57-D58</f>
        <v/>
      </c>
      <c r="H58" s="1573" t="n"/>
    </row>
    <row r="59" ht="39.75" customFormat="1" customHeight="1" s="1549">
      <c r="A59" s="1568" t="inlineStr">
        <is>
          <t>JT.#36</t>
        </is>
      </c>
      <c r="B59" s="1568" t="inlineStr">
        <is>
          <t>3 1/2" TSH</t>
        </is>
      </c>
      <c r="C59" s="1569" t="n">
        <v>31</v>
      </c>
      <c r="D59" s="1570">
        <f>C59-0.301</f>
        <v/>
      </c>
      <c r="E59" s="1571">
        <f>E58+D59</f>
        <v/>
      </c>
      <c r="F59" s="1571">
        <f>F58-D58</f>
        <v/>
      </c>
      <c r="G59" s="1572">
        <f>G58-D59</f>
        <v/>
      </c>
      <c r="H59" s="1573" t="n"/>
    </row>
    <row r="60" ht="39.75" customFormat="1" customHeight="1" s="1549">
      <c r="A60" s="1568" t="inlineStr">
        <is>
          <t>JT.#37</t>
        </is>
      </c>
      <c r="B60" s="1568" t="inlineStr">
        <is>
          <t>3 1/2" TSH</t>
        </is>
      </c>
      <c r="C60" s="1569" t="n">
        <v>31</v>
      </c>
      <c r="D60" s="1570">
        <f>C60-0.301</f>
        <v/>
      </c>
      <c r="E60" s="1571">
        <f>E59+D60</f>
        <v/>
      </c>
      <c r="F60" s="1571">
        <f>F59-D59</f>
        <v/>
      </c>
      <c r="G60" s="1572">
        <f>G59-D60</f>
        <v/>
      </c>
      <c r="H60" s="1573" t="n"/>
    </row>
    <row r="61" ht="39.75" customFormat="1" customHeight="1" s="1549">
      <c r="A61" s="1586" t="inlineStr">
        <is>
          <t>C</t>
        </is>
      </c>
      <c r="B61" s="1587" t="inlineStr">
        <is>
          <t>UPPER CONN. 3-1/2" VAM TOP BOX 9.2 PPF SN 28 110 KSI
DESCRIPTION: 5 FEET XOVER
SAP: 130005011340
SUPPLIER: TENARIS
LOWER CONN. 3-1/2" TSH BLUE PIN 9.2 PPF SN 28 110 KSI</t>
        </is>
      </c>
      <c r="C61" s="1588" t="n">
        <v>5.16</v>
      </c>
      <c r="D61" s="1570">
        <f>C61-0.301</f>
        <v/>
      </c>
      <c r="E61" s="1571">
        <f>E60+D61</f>
        <v/>
      </c>
      <c r="F61" s="1571">
        <f>F60-D60</f>
        <v/>
      </c>
      <c r="G61" s="1572">
        <f>G60-D61</f>
        <v/>
      </c>
      <c r="H61" s="1573" t="n"/>
    </row>
    <row r="62" ht="39.75" customFormat="1" customHeight="1" s="1549">
      <c r="A62" s="1582" t="n"/>
      <c r="B62" s="1587" t="inlineStr">
        <is>
          <t>UPPER CONN. 3-1/2" VAM TOP 9.2#PPF INC 925 KSI BOX
DESCRIPTION: 2.750 WXN Nipple
PN: 2963809
S/N :12527047-08
SAP: 130010036868
SUPPLIER: WEATHERFORD
LOWER CONN.3-1/2" VAM TOP 9.2#PPF INC 925KSI PIN</t>
        </is>
      </c>
      <c r="C62" s="1588" t="n">
        <v>1.15</v>
      </c>
      <c r="D62" s="1570">
        <f>C62-0.301</f>
        <v/>
      </c>
      <c r="E62" s="1571">
        <f>E61+D62</f>
        <v/>
      </c>
      <c r="F62" s="1571">
        <f>F61-D61</f>
        <v/>
      </c>
      <c r="G62" s="1572">
        <f>G61-D62</f>
        <v/>
      </c>
      <c r="H62" s="1573" t="n"/>
    </row>
    <row r="63" ht="39.75" customFormat="1" customHeight="1" s="1549">
      <c r="A63" s="1582" t="n"/>
      <c r="B63" s="1587" t="inlineStr">
        <is>
          <t>UPPER CONN. 3-1/2" VAM TOP 9.2#PPF SM 2535 BOX
DESCRIPTION: 5 FEET PUP JOINT
SAP: 130005002758
SUPPLIER: VAM
LOWER CONN. 3-1/2" VAM TOP 9.2#PPF SM 2535 PIN</t>
        </is>
      </c>
      <c r="C63" s="1588" t="n">
        <v>4.92</v>
      </c>
      <c r="D63" s="1589">
        <f>C63-0.301</f>
        <v/>
      </c>
      <c r="E63" s="1571">
        <f>E62+D63</f>
        <v/>
      </c>
      <c r="F63" s="1571">
        <f>F62-D62</f>
        <v/>
      </c>
      <c r="G63" s="1572">
        <f>G62-D63</f>
        <v/>
      </c>
      <c r="H63" s="1590" t="n"/>
    </row>
    <row r="64" ht="39.75" customFormat="1" customHeight="1" s="1549">
      <c r="A64" s="1582" t="n"/>
      <c r="B64" s="1587" t="inlineStr">
        <is>
          <t>UPPER CONN. 3-1/2" VAM TOP 9.2#PPF SM2535 BOX
DESCRIPTION: 10 FEET PUP JOINT
SAP: 130013000213
SUPPLIER: VAM
LOWER CONN. 3-1/2" VAM TOP 9.2#PPF SM2535 PIN</t>
        </is>
      </c>
      <c r="C64" s="1588" t="n">
        <v>9.92</v>
      </c>
      <c r="D64" s="1570">
        <f>C64-0.301</f>
        <v/>
      </c>
      <c r="E64" s="1571">
        <f>E63+D64</f>
        <v/>
      </c>
      <c r="F64" s="1571">
        <f>F63-D63</f>
        <v/>
      </c>
      <c r="G64" s="1572">
        <f>G63-D64</f>
        <v/>
      </c>
      <c r="H64" s="1591" t="n"/>
      <c r="K64" s="1578" t="n"/>
    </row>
    <row r="65" ht="39.75" customFormat="1" customHeight="1" s="1549">
      <c r="A65" s="1582" t="n"/>
      <c r="B65" s="1587"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588" t="n">
        <v>9.710000000000001</v>
      </c>
      <c r="D65" s="1570">
        <f>C65-0.301</f>
        <v/>
      </c>
      <c r="E65" s="1571">
        <f>E64+D65</f>
        <v/>
      </c>
      <c r="F65" s="1571">
        <f>F64-D64</f>
        <v/>
      </c>
      <c r="G65" s="1572">
        <f>G64-D65</f>
        <v/>
      </c>
      <c r="H65" s="1591" t="n"/>
      <c r="K65" s="1578" t="n"/>
    </row>
    <row r="66" ht="39.75" customFormat="1" customHeight="1" s="1549">
      <c r="A66" s="1148" t="n"/>
      <c r="B66" s="1587" t="inlineStr">
        <is>
          <t>UPPER CONN. 3-1/2" TSH BLUE BOX 9.2 PPF SN 28 110 KSI
DESCRIPTION: 5 FEET XOVER
SAP: 130005011444
SUPPLIER: TENARIS
LOWER CONN. 3-1/2" VAM TOP PIN 9.2 PPF SN 28 110 KSI</t>
        </is>
      </c>
      <c r="C66" s="1588" t="n">
        <v>4.99</v>
      </c>
      <c r="D66" s="1589">
        <f>C66-0.301</f>
        <v/>
      </c>
      <c r="E66" s="1571">
        <f>E65+D66</f>
        <v/>
      </c>
      <c r="F66" s="1571">
        <f>F65-D65</f>
        <v/>
      </c>
      <c r="G66" s="1572">
        <f>G65-D66</f>
        <v/>
      </c>
      <c r="H66" s="1592" t="n"/>
      <c r="K66" s="1578" t="n"/>
    </row>
    <row r="67" ht="39.75" customFormat="1" customHeight="1" s="1549">
      <c r="A67" s="1568" t="inlineStr">
        <is>
          <t>JT.#38</t>
        </is>
      </c>
      <c r="B67" s="1568" t="inlineStr">
        <is>
          <t>3 1/2" TSH</t>
        </is>
      </c>
      <c r="C67" s="1569" t="n">
        <v>31</v>
      </c>
      <c r="D67" s="1570">
        <f>C67-0.301</f>
        <v/>
      </c>
      <c r="E67" s="1571">
        <f>E66+D67</f>
        <v/>
      </c>
      <c r="F67" s="1571">
        <f>F66-D66</f>
        <v/>
      </c>
      <c r="G67" s="1572">
        <f>G66-D67</f>
        <v/>
      </c>
      <c r="H67" s="1576" t="n"/>
      <c r="K67" s="1578" t="n"/>
    </row>
    <row r="68" ht="39.75" customFormat="1" customHeight="1" s="1549">
      <c r="A68" s="1568" t="inlineStr">
        <is>
          <t>JT.#39</t>
        </is>
      </c>
      <c r="B68" s="1568" t="inlineStr">
        <is>
          <t>3 1/2" TSH</t>
        </is>
      </c>
      <c r="C68" s="1569" t="n">
        <v>31</v>
      </c>
      <c r="D68" s="1570">
        <f>C68-0.301</f>
        <v/>
      </c>
      <c r="E68" s="1571">
        <f>E67+D68</f>
        <v/>
      </c>
      <c r="F68" s="1571">
        <f>F67-D67</f>
        <v/>
      </c>
      <c r="G68" s="1572">
        <f>G67-D68</f>
        <v/>
      </c>
      <c r="H68" s="1576" t="n"/>
      <c r="K68" s="1578" t="n"/>
    </row>
    <row r="69" ht="39.75" customFormat="1" customHeight="1" s="1549">
      <c r="A69" s="1568" t="inlineStr">
        <is>
          <t>JT.#40</t>
        </is>
      </c>
      <c r="B69" s="1568" t="inlineStr">
        <is>
          <t>3 1/2" TSH</t>
        </is>
      </c>
      <c r="C69" s="1569" t="n">
        <v>31</v>
      </c>
      <c r="D69" s="1570">
        <f>C69-0.301</f>
        <v/>
      </c>
      <c r="E69" s="1571">
        <f>E68+D69</f>
        <v/>
      </c>
      <c r="F69" s="1571">
        <f>F68-D68</f>
        <v/>
      </c>
      <c r="G69" s="1572">
        <f>G68-D69</f>
        <v/>
      </c>
      <c r="H69" s="1576" t="n"/>
      <c r="K69" s="1578" t="n"/>
    </row>
    <row r="70" ht="39.75" customFormat="1" customHeight="1" s="1549">
      <c r="A70" s="1568" t="inlineStr">
        <is>
          <t>JT.#41</t>
        </is>
      </c>
      <c r="B70" s="1568" t="inlineStr">
        <is>
          <t>3 1/2" TSH</t>
        </is>
      </c>
      <c r="C70" s="1569" t="n">
        <v>31</v>
      </c>
      <c r="D70" s="1570">
        <f>C70-0.301</f>
        <v/>
      </c>
      <c r="E70" s="1571">
        <f>E69+D70</f>
        <v/>
      </c>
      <c r="F70" s="1571">
        <f>F69-D69</f>
        <v/>
      </c>
      <c r="G70" s="1572">
        <f>G69-D70</f>
        <v/>
      </c>
      <c r="H70" s="1576" t="n"/>
      <c r="K70" s="1578" t="n"/>
    </row>
    <row r="71" ht="39.75" customFormat="1" customHeight="1" s="1549">
      <c r="A71" s="1568" t="inlineStr">
        <is>
          <t>JT.#42</t>
        </is>
      </c>
      <c r="B71" s="1568" t="inlineStr">
        <is>
          <t>3 1/2" TSH</t>
        </is>
      </c>
      <c r="C71" s="1569" t="n">
        <v>31</v>
      </c>
      <c r="D71" s="1570">
        <f>C71-0.301</f>
        <v/>
      </c>
      <c r="E71" s="1571">
        <f>E70+D71</f>
        <v/>
      </c>
      <c r="F71" s="1571">
        <f>F70-D70</f>
        <v/>
      </c>
      <c r="G71" s="1572">
        <f>G70-D71</f>
        <v/>
      </c>
      <c r="H71" s="1576" t="n"/>
      <c r="K71" s="1578" t="n"/>
    </row>
    <row r="72" ht="39.75" customFormat="1" customHeight="1" s="1549">
      <c r="A72" s="1568" t="inlineStr">
        <is>
          <t>JT.#43</t>
        </is>
      </c>
      <c r="B72" s="1568" t="inlineStr">
        <is>
          <t>3 1/2" TSH</t>
        </is>
      </c>
      <c r="C72" s="1569" t="n">
        <v>31</v>
      </c>
      <c r="D72" s="1570">
        <f>C72-0.301</f>
        <v/>
      </c>
      <c r="E72" s="1571">
        <f>E71+D72</f>
        <v/>
      </c>
      <c r="F72" s="1571">
        <f>F71-D71</f>
        <v/>
      </c>
      <c r="G72" s="1572">
        <f>G71-D72</f>
        <v/>
      </c>
      <c r="H72" s="1576" t="n"/>
      <c r="K72" s="1578" t="n"/>
    </row>
    <row r="73" ht="39.75" customFormat="1" customHeight="1" s="1549">
      <c r="A73" s="1568" t="inlineStr">
        <is>
          <t>JT.#44</t>
        </is>
      </c>
      <c r="B73" s="1568" t="inlineStr">
        <is>
          <t>3 1/2" TSH</t>
        </is>
      </c>
      <c r="C73" s="1569" t="n">
        <v>31</v>
      </c>
      <c r="D73" s="1570">
        <f>C73-0.301</f>
        <v/>
      </c>
      <c r="E73" s="1571">
        <f>E72+D73</f>
        <v/>
      </c>
      <c r="F73" s="1571">
        <f>F72-D72</f>
        <v/>
      </c>
      <c r="G73" s="1572">
        <f>G72-D73</f>
        <v/>
      </c>
      <c r="H73" s="1576" t="n"/>
      <c r="K73" s="1578" t="n"/>
    </row>
    <row r="74" ht="39.75" customFormat="1" customHeight="1" s="1549">
      <c r="A74" s="1568" t="inlineStr">
        <is>
          <t>JT.#45</t>
        </is>
      </c>
      <c r="B74" s="1568" t="inlineStr">
        <is>
          <t>3 1/2" TSH</t>
        </is>
      </c>
      <c r="C74" s="1569" t="n">
        <v>31</v>
      </c>
      <c r="D74" s="1570">
        <f>C74-0.301</f>
        <v/>
      </c>
      <c r="E74" s="1571">
        <f>E73+D74</f>
        <v/>
      </c>
      <c r="F74" s="1571">
        <f>F73-D73</f>
        <v/>
      </c>
      <c r="G74" s="1572">
        <f>G73-D74</f>
        <v/>
      </c>
      <c r="H74" s="1593" t="n"/>
      <c r="K74" s="1578" t="n"/>
    </row>
    <row r="75" ht="39.75" customFormat="1" customHeight="1" s="1549">
      <c r="A75" s="1568" t="inlineStr">
        <is>
          <t>JT.#46</t>
        </is>
      </c>
      <c r="B75" s="1568" t="inlineStr">
        <is>
          <t>3 1/2" TSH</t>
        </is>
      </c>
      <c r="C75" s="1569" t="n">
        <v>31</v>
      </c>
      <c r="D75" s="1570">
        <f>C75-0.301</f>
        <v/>
      </c>
      <c r="E75" s="1571">
        <f>E74+D75</f>
        <v/>
      </c>
      <c r="F75" s="1571">
        <f>F74-D74</f>
        <v/>
      </c>
      <c r="G75" s="1572">
        <f>G74-D75</f>
        <v/>
      </c>
      <c r="H75" s="1576" t="n"/>
      <c r="K75" s="1578" t="n"/>
    </row>
    <row r="76" ht="39.75" customFormat="1" customHeight="1" s="1549">
      <c r="A76" s="1568" t="inlineStr">
        <is>
          <t>JT.#47</t>
        </is>
      </c>
      <c r="B76" s="1568" t="inlineStr">
        <is>
          <t>3 1/2" TSH</t>
        </is>
      </c>
      <c r="C76" s="1569" t="n">
        <v>31</v>
      </c>
      <c r="D76" s="1570">
        <f>C76-0.301</f>
        <v/>
      </c>
      <c r="E76" s="1571">
        <f>E75+D76</f>
        <v/>
      </c>
      <c r="F76" s="1571">
        <f>F75-D75</f>
        <v/>
      </c>
      <c r="G76" s="1572">
        <f>G75-D76</f>
        <v/>
      </c>
      <c r="H76" s="1576" t="n"/>
      <c r="K76" s="1578" t="n"/>
    </row>
    <row r="77" ht="39.75" customFormat="1" customHeight="1" s="1549">
      <c r="A77" s="1568" t="inlineStr">
        <is>
          <t>JT.#48</t>
        </is>
      </c>
      <c r="B77" s="1568" t="inlineStr">
        <is>
          <t>3 1/2" TSH</t>
        </is>
      </c>
      <c r="C77" s="1569" t="n">
        <v>31</v>
      </c>
      <c r="D77" s="1570">
        <f>C77-0.301</f>
        <v/>
      </c>
      <c r="E77" s="1571">
        <f>E76+D77</f>
        <v/>
      </c>
      <c r="F77" s="1571">
        <f>F76-D76</f>
        <v/>
      </c>
      <c r="G77" s="1572">
        <f>G76-D77</f>
        <v/>
      </c>
      <c r="H77" s="1576" t="n"/>
      <c r="K77" s="1578" t="n"/>
    </row>
    <row r="78" ht="39.75" customFormat="1" customHeight="1" s="1549">
      <c r="A78" s="1568" t="inlineStr">
        <is>
          <t>JT.#49</t>
        </is>
      </c>
      <c r="B78" s="1568" t="inlineStr">
        <is>
          <t>3 1/2" TSH</t>
        </is>
      </c>
      <c r="C78" s="1569" t="n">
        <v>31</v>
      </c>
      <c r="D78" s="1570">
        <f>C78-0.301</f>
        <v/>
      </c>
      <c r="E78" s="1571">
        <f>E77+D78</f>
        <v/>
      </c>
      <c r="F78" s="1571">
        <f>F77-D77</f>
        <v/>
      </c>
      <c r="G78" s="1572">
        <f>G77-D78</f>
        <v/>
      </c>
      <c r="H78" s="1576" t="n"/>
      <c r="K78" s="1578" t="n"/>
    </row>
    <row r="79" ht="39.75" customFormat="1" customHeight="1" s="1549">
      <c r="A79" s="1568" t="inlineStr">
        <is>
          <t>JT.#50</t>
        </is>
      </c>
      <c r="B79" s="1568" t="inlineStr">
        <is>
          <t>3 1/2" TSH</t>
        </is>
      </c>
      <c r="C79" s="1569" t="n">
        <v>31</v>
      </c>
      <c r="D79" s="1570">
        <f>C79-0.301</f>
        <v/>
      </c>
      <c r="E79" s="1571">
        <f>E78+D79</f>
        <v/>
      </c>
      <c r="F79" s="1571">
        <f>F78-D78</f>
        <v/>
      </c>
      <c r="G79" s="1572">
        <f>G78-D79</f>
        <v/>
      </c>
      <c r="H79" s="1594" t="n"/>
      <c r="K79" s="1578" t="n"/>
    </row>
    <row r="80" ht="39.75" customFormat="1" customHeight="1" s="1549">
      <c r="A80" s="1568" t="inlineStr">
        <is>
          <t>JT.#51</t>
        </is>
      </c>
      <c r="B80" s="1568" t="inlineStr">
        <is>
          <t>3 1/2" TSH</t>
        </is>
      </c>
      <c r="C80" s="1569" t="n">
        <v>31</v>
      </c>
      <c r="D80" s="1589">
        <f>C80-0.301</f>
        <v/>
      </c>
      <c r="E80" s="1571">
        <f>E79+D80</f>
        <v/>
      </c>
      <c r="F80" s="1571">
        <f>F79-D79</f>
        <v/>
      </c>
      <c r="G80" s="1572">
        <f>G79-D80</f>
        <v/>
      </c>
      <c r="H80" s="1594" t="n"/>
      <c r="K80" s="1578" t="n"/>
    </row>
    <row r="81" ht="39.75" customFormat="1" customHeight="1" s="1549">
      <c r="A81" s="1568" t="inlineStr">
        <is>
          <t>JT.#52</t>
        </is>
      </c>
      <c r="B81" s="1568" t="inlineStr">
        <is>
          <t>3 1/2" TSH</t>
        </is>
      </c>
      <c r="C81" s="1569" t="n">
        <v>31</v>
      </c>
      <c r="D81" s="1570">
        <f>C81-0.301</f>
        <v/>
      </c>
      <c r="E81" s="1571">
        <f>E80+D81</f>
        <v/>
      </c>
      <c r="F81" s="1571">
        <f>F80-D80</f>
        <v/>
      </c>
      <c r="G81" s="1572">
        <f>G80-D81</f>
        <v/>
      </c>
      <c r="H81" s="1594" t="n"/>
      <c r="K81" s="1578" t="n"/>
    </row>
    <row r="82" ht="141.75" customFormat="1" customHeight="1" s="1549">
      <c r="A82" s="1568" t="inlineStr">
        <is>
          <t>JT.#53</t>
        </is>
      </c>
      <c r="B82" s="1568" t="inlineStr">
        <is>
          <t>3 1/2" TSH</t>
        </is>
      </c>
      <c r="C82" s="1569" t="n">
        <v>31</v>
      </c>
      <c r="D82" s="1595">
        <f>C82-0.301</f>
        <v/>
      </c>
      <c r="E82" s="1571">
        <f>E81+D82</f>
        <v/>
      </c>
      <c r="F82" s="1571">
        <f>F81-D81</f>
        <v/>
      </c>
      <c r="G82" s="1572">
        <f>G81-D82</f>
        <v/>
      </c>
      <c r="H82" s="1596" t="n"/>
      <c r="I82" s="1575" t="n"/>
      <c r="J82" s="1558" t="n"/>
      <c r="K82" s="1005" t="n"/>
      <c r="L82" s="1005" t="n"/>
      <c r="O82" s="1567" t="n"/>
      <c r="P82" s="1567" t="n"/>
      <c r="Q82" s="1567" t="n"/>
      <c r="R82" s="1567" t="n"/>
      <c r="S82" s="1567" t="n"/>
      <c r="T82" s="1567" t="n"/>
    </row>
    <row r="83" ht="208.5" customFormat="1" customHeight="1" s="1549">
      <c r="A83" s="1568" t="inlineStr">
        <is>
          <t>JT.#54</t>
        </is>
      </c>
      <c r="B83" s="1568" t="inlineStr">
        <is>
          <t>3 1/2" TSH</t>
        </is>
      </c>
      <c r="C83" s="1569" t="n">
        <v>31</v>
      </c>
      <c r="D83" s="1597">
        <f>C83</f>
        <v/>
      </c>
      <c r="E83" s="1571">
        <f>E82+D83</f>
        <v/>
      </c>
      <c r="F83" s="1571">
        <f>F82-D82</f>
        <v/>
      </c>
      <c r="G83" s="1572">
        <f>G82-D83</f>
        <v/>
      </c>
      <c r="H83" s="1598" t="n"/>
      <c r="J83" s="1558" t="n"/>
      <c r="K83" s="1565" t="n"/>
      <c r="L83" s="1565" t="n"/>
      <c r="O83" s="1567" t="n"/>
      <c r="P83" s="1567" t="n"/>
      <c r="Q83" s="1567" t="n"/>
      <c r="R83" s="1567" t="n"/>
      <c r="S83" s="1567" t="n"/>
      <c r="T83" s="1567" t="n"/>
    </row>
    <row r="84" ht="102.75" customFormat="1" customHeight="1" s="1549">
      <c r="A84" s="1568" t="inlineStr">
        <is>
          <t>JT.#55</t>
        </is>
      </c>
      <c r="B84" s="1568" t="inlineStr">
        <is>
          <t>3 1/2" TSH</t>
        </is>
      </c>
      <c r="C84" s="1569" t="n">
        <v>31</v>
      </c>
      <c r="D84" s="1597">
        <f>C84</f>
        <v/>
      </c>
      <c r="E84" s="1571">
        <f>E83+D84</f>
        <v/>
      </c>
      <c r="F84" s="1571">
        <f>F83-D83</f>
        <v/>
      </c>
      <c r="G84" s="1572">
        <f>G83-D84</f>
        <v/>
      </c>
      <c r="H84" s="1599" t="n"/>
      <c r="J84" s="1558" t="n"/>
      <c r="K84" s="1565" t="n"/>
      <c r="L84" s="1565" t="n"/>
      <c r="O84" s="1567" t="n"/>
      <c r="P84" s="1567" t="n"/>
      <c r="Q84" s="1567" t="n"/>
      <c r="R84" s="1567" t="n"/>
      <c r="S84" s="1567" t="n"/>
      <c r="T84" s="1567" t="n"/>
    </row>
    <row r="85" ht="39.75" customFormat="1" customHeight="1" s="1549">
      <c r="A85" s="1568" t="inlineStr">
        <is>
          <t>JT.#56</t>
        </is>
      </c>
      <c r="B85" s="1568" t="inlineStr">
        <is>
          <t>3 1/2" TSH</t>
        </is>
      </c>
      <c r="C85" s="1569" t="n">
        <v>31</v>
      </c>
      <c r="D85" s="1570">
        <f>C85-0.301</f>
        <v/>
      </c>
      <c r="E85" s="1571">
        <f>E84+D85</f>
        <v/>
      </c>
      <c r="F85" s="1571">
        <f>F84-D84</f>
        <v/>
      </c>
      <c r="G85" s="1572">
        <f>G84-D85</f>
        <v/>
      </c>
      <c r="H85" s="1576" t="n"/>
      <c r="K85" s="1578" t="n"/>
    </row>
    <row r="86" ht="39.75" customFormat="1" customHeight="1" s="1549">
      <c r="A86" s="1568" t="inlineStr">
        <is>
          <t>JT.#57</t>
        </is>
      </c>
      <c r="B86" s="1568" t="inlineStr">
        <is>
          <t>3 1/2" TSH</t>
        </is>
      </c>
      <c r="C86" s="1569" t="n">
        <v>31</v>
      </c>
      <c r="D86" s="1570">
        <f>C86-0.301</f>
        <v/>
      </c>
      <c r="E86" s="1571">
        <f>E85+D86</f>
        <v/>
      </c>
      <c r="F86" s="1571">
        <f>F85-D85</f>
        <v/>
      </c>
      <c r="G86" s="1572">
        <f>G85-D86</f>
        <v/>
      </c>
      <c r="H86" s="1576" t="n"/>
      <c r="K86" s="1578" t="n"/>
    </row>
    <row r="87" ht="39.75" customFormat="1" customHeight="1" s="1549">
      <c r="A87" s="1600" t="inlineStr">
        <is>
          <t>D1</t>
        </is>
      </c>
      <c r="B87" s="1601" t="inlineStr">
        <is>
          <t>UPPER CONN. 3-1/2" VAM TOP BOX 9.2 PPF SN 28 110 KSI
DESCRIPTION: 5 FEET XOVER
SAP: 130005011340
SUPPLIER: TENARIS
LOWER CONN. 3-1/2" TSH BLUE PIN 9.2 PPF SN 28 110 KSI</t>
        </is>
      </c>
      <c r="C87" s="1602" t="n">
        <v>5.2</v>
      </c>
      <c r="D87" s="1570">
        <f>C87-0.301</f>
        <v/>
      </c>
      <c r="E87" s="1571">
        <f>E86+D87</f>
        <v/>
      </c>
      <c r="F87" s="1571">
        <f>F86-D86</f>
        <v/>
      </c>
      <c r="G87" s="1572">
        <f>G86-D87</f>
        <v/>
      </c>
      <c r="H87" s="1576" t="n"/>
      <c r="K87" s="1578" t="n"/>
    </row>
    <row r="88" ht="39.75" customFormat="1" customHeight="1" s="1549">
      <c r="A88" s="1582" t="n"/>
      <c r="B88" s="1601" t="inlineStr">
        <is>
          <t>UPPER CONN. 3-1/2" SENTINEL PRIME BOX 9.2 PPF TX28-110 KSI
DESCRIPTION: 5 FEET XOVER
SAP: 130013006385
SUPPLIER: TBX
LOWER CONN. 3-1/2" VAM TOP PIN 9.2 PPF TX28-110 KSI</t>
        </is>
      </c>
      <c r="C88" s="1602" t="n">
        <v>4.96</v>
      </c>
      <c r="D88" s="1570">
        <f>C88-0.301</f>
        <v/>
      </c>
      <c r="E88" s="1571">
        <f>E87+D88</f>
        <v/>
      </c>
      <c r="F88" s="1571">
        <f>F87-D87</f>
        <v/>
      </c>
      <c r="G88" s="1572">
        <f>G87-D88</f>
        <v/>
      </c>
      <c r="H88" s="1576" t="n"/>
      <c r="K88" s="1578" t="n"/>
    </row>
    <row r="89" ht="39.75" customFormat="1" customHeight="1" s="1549">
      <c r="A89" s="1582" t="n"/>
      <c r="B89" s="160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02" t="n">
        <v>8.69</v>
      </c>
      <c r="D89" s="1570">
        <f>C89-0.301</f>
        <v/>
      </c>
      <c r="E89" s="1571">
        <f>E88+D89</f>
        <v/>
      </c>
      <c r="F89" s="1571">
        <f>F88-D88</f>
        <v/>
      </c>
      <c r="G89" s="1572">
        <f>G88-D89</f>
        <v/>
      </c>
      <c r="H89" s="1593" t="n"/>
      <c r="K89" s="1578" t="n"/>
    </row>
    <row r="90" ht="39.75" customFormat="1" customHeight="1" s="1549">
      <c r="A90" s="1582" t="n"/>
      <c r="B90" s="1601" t="inlineStr">
        <is>
          <t>UPPER CONN. 3-1/2" VAM TOP BOX 9.2 PPF TX28- 110 KSI
DESCRIPTION: 5 FEET XOVER
SAP: 130013006383
SUPPLIER: TBX
LOWER CONN -3-1/2" SENTINEL PRIME PIN 9.2 PPF TX28-110 KSI</t>
        </is>
      </c>
      <c r="C90" s="1602" t="n">
        <v>4.85</v>
      </c>
      <c r="D90" s="1570">
        <f>C90-0.301</f>
        <v/>
      </c>
      <c r="E90" s="1571">
        <f>E89+D90</f>
        <v/>
      </c>
      <c r="F90" s="1571">
        <f>F89-D89</f>
        <v/>
      </c>
      <c r="G90" s="1572">
        <f>G89-D90</f>
        <v/>
      </c>
      <c r="H90" s="1576" t="n"/>
      <c r="K90" s="1578" t="n"/>
    </row>
    <row r="91" ht="39.75" customFormat="1" customHeight="1" s="1549">
      <c r="A91" s="1148" t="n"/>
      <c r="B91" s="1601" t="inlineStr">
        <is>
          <t>UPPER CONN. 3-1/2" TSH BLUE BOX 9.2 PPF SN 28 110 KSI
DESCRIPTION: 10 FEET XOVER
SAP: 130005012487
SUPPLIER: TENARIS
LOWER CONN. 3-1/2" VAM TOP PIN 9.2 PPF SN 28 110 KSI</t>
        </is>
      </c>
      <c r="C91" s="1602" t="n">
        <v>9.949999999999999</v>
      </c>
      <c r="D91" s="1570">
        <f>C91-0.301</f>
        <v/>
      </c>
      <c r="E91" s="1571">
        <f>E90+D91</f>
        <v/>
      </c>
      <c r="F91" s="1571">
        <f>F90-D90</f>
        <v/>
      </c>
      <c r="G91" s="1572">
        <f>G90-D91</f>
        <v/>
      </c>
      <c r="H91" s="1576" t="n"/>
      <c r="K91" s="1578" t="n"/>
    </row>
    <row r="92" ht="39.75" customFormat="1" customHeight="1" s="1549">
      <c r="A92" s="1568" t="inlineStr">
        <is>
          <t>JT.#58</t>
        </is>
      </c>
      <c r="B92" s="1568" t="inlineStr">
        <is>
          <t>3 1/2" TSH</t>
        </is>
      </c>
      <c r="C92" s="1569" t="n">
        <v>31</v>
      </c>
      <c r="D92" s="1570">
        <f>C92-0.301</f>
        <v/>
      </c>
      <c r="E92" s="1571">
        <f>E91+D92</f>
        <v/>
      </c>
      <c r="F92" s="1571">
        <f>F91-D91</f>
        <v/>
      </c>
      <c r="G92" s="1572">
        <f>G91-D92</f>
        <v/>
      </c>
      <c r="H92" s="1576" t="n"/>
      <c r="K92" s="1578" t="n"/>
    </row>
    <row r="93" ht="39.75" customFormat="1" customHeight="1" s="1549">
      <c r="A93" s="1568" t="inlineStr">
        <is>
          <t>JT.#59</t>
        </is>
      </c>
      <c r="B93" s="1568" t="inlineStr">
        <is>
          <t>3 1/2" TSH</t>
        </is>
      </c>
      <c r="C93" s="1569" t="n">
        <v>31</v>
      </c>
      <c r="D93" s="1570">
        <f>C93-0.301</f>
        <v/>
      </c>
      <c r="E93" s="1571">
        <f>E92+D93</f>
        <v/>
      </c>
      <c r="F93" s="1571">
        <f>F92-D92</f>
        <v/>
      </c>
      <c r="G93" s="1572">
        <f>G92-D93</f>
        <v/>
      </c>
      <c r="H93" s="1576" t="n"/>
      <c r="K93" s="1578" t="n"/>
    </row>
    <row r="94" ht="39.75" customFormat="1" customHeight="1" s="1549">
      <c r="A94" s="1568" t="inlineStr">
        <is>
          <t>JT.#60</t>
        </is>
      </c>
      <c r="B94" s="1568" t="inlineStr">
        <is>
          <t>3 1/2" TSH</t>
        </is>
      </c>
      <c r="C94" s="1569" t="n">
        <v>31</v>
      </c>
      <c r="D94" s="1570">
        <f>C94-0.301</f>
        <v/>
      </c>
      <c r="E94" s="1571">
        <f>E93+D94</f>
        <v/>
      </c>
      <c r="F94" s="1571">
        <f>F93-D93</f>
        <v/>
      </c>
      <c r="G94" s="1572">
        <f>G93-D94</f>
        <v/>
      </c>
      <c r="H94" s="1576" t="n"/>
      <c r="K94" s="1578" t="n"/>
    </row>
    <row r="95" ht="39.75" customFormat="1" customHeight="1" s="1549">
      <c r="A95" s="1568" t="inlineStr">
        <is>
          <t>JT.#61</t>
        </is>
      </c>
      <c r="B95" s="1568" t="inlineStr">
        <is>
          <t>3 1/2" TSH</t>
        </is>
      </c>
      <c r="C95" s="1569" t="n">
        <v>31</v>
      </c>
      <c r="D95" s="1570">
        <f>C95-0.301</f>
        <v/>
      </c>
      <c r="E95" s="1571">
        <f>E94+D95</f>
        <v/>
      </c>
      <c r="F95" s="1571">
        <f>F94-D94</f>
        <v/>
      </c>
      <c r="G95" s="1572">
        <f>G94-D95</f>
        <v/>
      </c>
      <c r="H95" s="1593" t="n"/>
      <c r="K95" s="1578" t="n"/>
    </row>
    <row r="96" ht="39.75" customFormat="1" customHeight="1" s="1549">
      <c r="A96" s="1568" t="inlineStr">
        <is>
          <t>JT.#62</t>
        </is>
      </c>
      <c r="B96" s="1568" t="inlineStr">
        <is>
          <t>3 1/2" TSH</t>
        </is>
      </c>
      <c r="C96" s="1569" t="n">
        <v>31</v>
      </c>
      <c r="D96" s="1570">
        <f>C96-0.301</f>
        <v/>
      </c>
      <c r="E96" s="1571">
        <f>E95+D96</f>
        <v/>
      </c>
      <c r="F96" s="1571">
        <f>F95-D95</f>
        <v/>
      </c>
      <c r="G96" s="1572">
        <f>G95-D96</f>
        <v/>
      </c>
      <c r="H96" s="1576" t="n"/>
      <c r="I96" s="1603" t="n"/>
      <c r="K96" s="1578" t="n"/>
    </row>
    <row r="97" ht="39.75" customFormat="1" customHeight="1" s="1549">
      <c r="A97" s="1568" t="inlineStr">
        <is>
          <t>JT.#63</t>
        </is>
      </c>
      <c r="B97" s="1568" t="inlineStr">
        <is>
          <t>3 1/2" TSH</t>
        </is>
      </c>
      <c r="C97" s="1569" t="n">
        <v>31</v>
      </c>
      <c r="D97" s="1570">
        <f>C97-0.301</f>
        <v/>
      </c>
      <c r="E97" s="1571">
        <f>E96+D97</f>
        <v/>
      </c>
      <c r="F97" s="1571">
        <f>F96-D96</f>
        <v/>
      </c>
      <c r="G97" s="1572">
        <f>G96-D97</f>
        <v/>
      </c>
      <c r="H97" s="1576" t="n"/>
      <c r="I97" s="1603" t="n"/>
      <c r="K97" s="1578" t="n"/>
    </row>
    <row r="98" ht="39.75" customFormat="1" customHeight="1" s="1549">
      <c r="A98" s="1568" t="inlineStr">
        <is>
          <t>JT.#64</t>
        </is>
      </c>
      <c r="B98" s="1568" t="inlineStr">
        <is>
          <t>3 1/2" TSH</t>
        </is>
      </c>
      <c r="C98" s="1569" t="n">
        <v>31</v>
      </c>
      <c r="D98" s="1570">
        <f>C98-0.301</f>
        <v/>
      </c>
      <c r="E98" s="1571">
        <f>E97+D98</f>
        <v/>
      </c>
      <c r="F98" s="1571">
        <f>F97-D97</f>
        <v/>
      </c>
      <c r="G98" s="1572">
        <f>G97-D98</f>
        <v/>
      </c>
      <c r="H98" s="1576" t="n"/>
      <c r="I98" s="1603" t="n"/>
      <c r="K98" s="1578" t="n"/>
    </row>
    <row r="99" ht="39.75" customFormat="1" customHeight="1" s="1549">
      <c r="A99" s="1568" t="inlineStr">
        <is>
          <t>JT.#65</t>
        </is>
      </c>
      <c r="B99" s="1568" t="inlineStr">
        <is>
          <t>3 1/2" TSH</t>
        </is>
      </c>
      <c r="C99" s="1569" t="n">
        <v>31</v>
      </c>
      <c r="D99" s="1570">
        <f>C99-0.301</f>
        <v/>
      </c>
      <c r="E99" s="1571">
        <f>E98+D99</f>
        <v/>
      </c>
      <c r="F99" s="1571">
        <f>F98-D98</f>
        <v/>
      </c>
      <c r="G99" s="1572">
        <f>G98-D99</f>
        <v/>
      </c>
      <c r="H99" s="1576" t="n"/>
      <c r="I99" s="1603" t="n"/>
      <c r="K99" s="1578" t="n"/>
    </row>
    <row r="100" ht="39.75" customFormat="1" customHeight="1" s="1549">
      <c r="A100" s="1568" t="inlineStr">
        <is>
          <t>JT.#66</t>
        </is>
      </c>
      <c r="B100" s="1568" t="inlineStr">
        <is>
          <t>3 1/2" TSH</t>
        </is>
      </c>
      <c r="C100" s="1569" t="n">
        <v>31</v>
      </c>
      <c r="D100" s="1570">
        <f>C100-0.301</f>
        <v/>
      </c>
      <c r="E100" s="1571">
        <f>E99+D100</f>
        <v/>
      </c>
      <c r="F100" s="1571">
        <f>F99-D99</f>
        <v/>
      </c>
      <c r="G100" s="1572">
        <f>G99-D100</f>
        <v/>
      </c>
      <c r="H100" s="1576" t="n"/>
      <c r="I100" s="1603" t="n"/>
      <c r="K100" s="1578" t="n"/>
    </row>
    <row r="101" ht="39.75" customFormat="1" customHeight="1" s="1549">
      <c r="A101" s="1568" t="inlineStr">
        <is>
          <t>JT.#67</t>
        </is>
      </c>
      <c r="B101" s="1568" t="inlineStr">
        <is>
          <t>3 1/2" TSH</t>
        </is>
      </c>
      <c r="C101" s="1569" t="n">
        <v>31</v>
      </c>
      <c r="D101" s="1570">
        <f>C101-0.301</f>
        <v/>
      </c>
      <c r="E101" s="1571">
        <f>E100+D101</f>
        <v/>
      </c>
      <c r="F101" s="1571">
        <f>F100-D100</f>
        <v/>
      </c>
      <c r="G101" s="1572">
        <f>G100-D101</f>
        <v/>
      </c>
      <c r="H101" s="1576" t="n"/>
      <c r="K101" s="1578" t="n"/>
    </row>
    <row r="102" ht="39.75" customFormat="1" customHeight="1" s="1549">
      <c r="A102" s="1568" t="inlineStr">
        <is>
          <t>JT.#68</t>
        </is>
      </c>
      <c r="B102" s="1568" t="inlineStr">
        <is>
          <t>3 1/2" TSH</t>
        </is>
      </c>
      <c r="C102" s="1569" t="n">
        <v>31</v>
      </c>
      <c r="D102" s="1570">
        <f>C102-0.301</f>
        <v/>
      </c>
      <c r="E102" s="1571">
        <f>E101+D102</f>
        <v/>
      </c>
      <c r="F102" s="1571">
        <f>F101-D101</f>
        <v/>
      </c>
      <c r="G102" s="1572">
        <f>G101-D102</f>
        <v/>
      </c>
      <c r="H102" s="1576" t="n"/>
      <c r="K102" s="1578" t="n"/>
    </row>
    <row r="103" ht="39.75" customFormat="1" customHeight="1" s="1549">
      <c r="A103" s="1568" t="inlineStr">
        <is>
          <t>JT.#69</t>
        </is>
      </c>
      <c r="B103" s="1568" t="inlineStr">
        <is>
          <t>3 1/2" TSH</t>
        </is>
      </c>
      <c r="C103" s="1569" t="n">
        <v>31</v>
      </c>
      <c r="D103" s="1570">
        <f>C103-0.301</f>
        <v/>
      </c>
      <c r="E103" s="1571">
        <f>E102+D103</f>
        <v/>
      </c>
      <c r="F103" s="1571">
        <f>F102-D102</f>
        <v/>
      </c>
      <c r="G103" s="1572">
        <f>G102-D103</f>
        <v/>
      </c>
      <c r="H103" s="1593" t="n"/>
      <c r="K103" s="1578" t="n"/>
    </row>
    <row r="104" ht="39.75" customFormat="1" customHeight="1" s="1549">
      <c r="A104" s="1568" t="inlineStr">
        <is>
          <t>JT.#70</t>
        </is>
      </c>
      <c r="B104" s="1568" t="inlineStr">
        <is>
          <t>3 1/2" TSH</t>
        </is>
      </c>
      <c r="C104" s="1569" t="n">
        <v>31</v>
      </c>
      <c r="D104" s="1570">
        <f>C104-0.301</f>
        <v/>
      </c>
      <c r="E104" s="1571">
        <f>E103+D104</f>
        <v/>
      </c>
      <c r="F104" s="1571">
        <f>F103-D103</f>
        <v/>
      </c>
      <c r="G104" s="1572">
        <f>G103-D104</f>
        <v/>
      </c>
      <c r="H104" s="1576" t="n"/>
      <c r="K104" s="1578" t="n"/>
    </row>
    <row r="105" ht="39.75" customFormat="1" customHeight="1" s="1549">
      <c r="A105" s="1568" t="inlineStr">
        <is>
          <t>JT.#71</t>
        </is>
      </c>
      <c r="B105" s="1568" t="inlineStr">
        <is>
          <t>3 1/2" TSH</t>
        </is>
      </c>
      <c r="C105" s="1569" t="n">
        <v>31</v>
      </c>
      <c r="D105" s="1570">
        <f>C105-0.301</f>
        <v/>
      </c>
      <c r="E105" s="1571">
        <f>E104+D105</f>
        <v/>
      </c>
      <c r="F105" s="1571">
        <f>F104-D104</f>
        <v/>
      </c>
      <c r="G105" s="1572">
        <f>G104-D105</f>
        <v/>
      </c>
      <c r="H105" s="1576" t="n"/>
      <c r="K105" s="1578" t="n"/>
    </row>
    <row r="106" ht="39.75" customFormat="1" customHeight="1" s="1549">
      <c r="A106" s="1568" t="inlineStr">
        <is>
          <t>JT.#72</t>
        </is>
      </c>
      <c r="B106" s="1568" t="inlineStr">
        <is>
          <t>3 1/2" TSH</t>
        </is>
      </c>
      <c r="C106" s="1569" t="n">
        <v>31</v>
      </c>
      <c r="D106" s="1570">
        <f>C106-0.301</f>
        <v/>
      </c>
      <c r="E106" s="1571">
        <f>E105+D106</f>
        <v/>
      </c>
      <c r="F106" s="1571">
        <f>F105-D105</f>
        <v/>
      </c>
      <c r="G106" s="1572">
        <f>G105-D106</f>
        <v/>
      </c>
      <c r="H106" s="1576" t="n"/>
      <c r="K106" s="1578" t="n"/>
    </row>
    <row r="107" ht="39.75" customFormat="1" customHeight="1" s="1549">
      <c r="A107" s="1568" t="inlineStr">
        <is>
          <t>JT.#73</t>
        </is>
      </c>
      <c r="B107" s="1568" t="inlineStr">
        <is>
          <t>3 1/2" TSH</t>
        </is>
      </c>
      <c r="C107" s="1569" t="n">
        <v>31</v>
      </c>
      <c r="D107" s="1570">
        <f>C107-0.301</f>
        <v/>
      </c>
      <c r="E107" s="1571">
        <f>E106+D107</f>
        <v/>
      </c>
      <c r="F107" s="1571">
        <f>F106-D106</f>
        <v/>
      </c>
      <c r="G107" s="1572">
        <f>G106-D107</f>
        <v/>
      </c>
      <c r="H107" s="1576" t="n"/>
      <c r="K107" s="1578" t="n"/>
    </row>
    <row r="108" ht="39.75" customFormat="1" customHeight="1" s="1549">
      <c r="A108" s="1568" t="inlineStr">
        <is>
          <t>JT.#74</t>
        </is>
      </c>
      <c r="B108" s="1568" t="inlineStr">
        <is>
          <t>3 1/2" TSH</t>
        </is>
      </c>
      <c r="C108" s="1569" t="n">
        <v>31</v>
      </c>
      <c r="D108" s="1570">
        <f>C108-0.301</f>
        <v/>
      </c>
      <c r="E108" s="1571">
        <f>E107+D108</f>
        <v/>
      </c>
      <c r="F108" s="1571">
        <f>F107-D107</f>
        <v/>
      </c>
      <c r="G108" s="1572">
        <f>G107-D108</f>
        <v/>
      </c>
      <c r="H108" s="1576" t="n"/>
      <c r="K108" s="1578" t="n"/>
    </row>
    <row r="109" ht="39.75" customFormat="1" customHeight="1" s="1549">
      <c r="A109" s="1568" t="inlineStr">
        <is>
          <t>JT.#75</t>
        </is>
      </c>
      <c r="B109" s="1568" t="inlineStr">
        <is>
          <t>3 1/2" TSH</t>
        </is>
      </c>
      <c r="C109" s="1569" t="n">
        <v>31</v>
      </c>
      <c r="D109" s="1570">
        <f>C109-0.301</f>
        <v/>
      </c>
      <c r="E109" s="1571">
        <f>E108+D109</f>
        <v/>
      </c>
      <c r="F109" s="1571">
        <f>F108-D108</f>
        <v/>
      </c>
      <c r="G109" s="1572">
        <f>G108-D109</f>
        <v/>
      </c>
      <c r="H109" s="1576" t="n"/>
      <c r="K109" s="1578" t="n"/>
    </row>
    <row r="110" ht="39.75" customFormat="1" customHeight="1" s="1549">
      <c r="A110" s="1568" t="inlineStr">
        <is>
          <t>JT.#76</t>
        </is>
      </c>
      <c r="B110" s="1568" t="inlineStr">
        <is>
          <t>3 1/2" TSH</t>
        </is>
      </c>
      <c r="C110" s="1569" t="n">
        <v>31</v>
      </c>
      <c r="D110" s="1570">
        <f>C110-0.301</f>
        <v/>
      </c>
      <c r="E110" s="1571">
        <f>E109+D110</f>
        <v/>
      </c>
      <c r="F110" s="1571">
        <f>F109-D109</f>
        <v/>
      </c>
      <c r="G110" s="1572">
        <f>G109-D110</f>
        <v/>
      </c>
      <c r="H110" s="1576" t="n"/>
      <c r="K110" s="1578" t="n"/>
    </row>
    <row r="111" ht="39.75" customFormat="1" customHeight="1" s="1549">
      <c r="A111" s="1568" t="inlineStr">
        <is>
          <t>JT.#77</t>
        </is>
      </c>
      <c r="B111" s="1568" t="inlineStr">
        <is>
          <t>3 1/2" TSH</t>
        </is>
      </c>
      <c r="C111" s="1569" t="n">
        <v>31</v>
      </c>
      <c r="D111" s="1570">
        <f>C111-0.301</f>
        <v/>
      </c>
      <c r="E111" s="1571">
        <f>E110+D111</f>
        <v/>
      </c>
      <c r="F111" s="1571">
        <f>F110-D110</f>
        <v/>
      </c>
      <c r="G111" s="1572">
        <f>G110-D111</f>
        <v/>
      </c>
      <c r="H111" s="1576" t="n"/>
      <c r="K111" s="1578" t="n"/>
    </row>
    <row r="112" ht="39" customFormat="1" customHeight="1" s="1549">
      <c r="A112" s="1604" t="inlineStr">
        <is>
          <t>D2</t>
        </is>
      </c>
      <c r="B112" s="1605" t="inlineStr">
        <is>
          <t>UPPER CONN. 3-1/2" VAM TOP BOX 9.2 PPF SN 28 110 KSI
DESCRIPTION: 5 FEET XOVER
SAP: 130005011340
SUPPLIER: TENARIS
LOWER CONN. 3-1/2" TSH BLUE PIN 9.2 PPF SN 28 110 KSI</t>
        </is>
      </c>
      <c r="C112" s="1606" t="n">
        <v>5.18</v>
      </c>
      <c r="D112" s="1570">
        <f>C112-0.301</f>
        <v/>
      </c>
      <c r="E112" s="1571">
        <f>E111+D112</f>
        <v/>
      </c>
      <c r="F112" s="1571">
        <f>F111-D111</f>
        <v/>
      </c>
      <c r="G112" s="1572">
        <f>G111-D112</f>
        <v/>
      </c>
      <c r="H112" s="1576" t="n"/>
      <c r="K112" s="1578" t="n"/>
    </row>
    <row r="113" ht="39.75" customFormat="1" customHeight="1" s="1549">
      <c r="A113" s="1582" t="n"/>
      <c r="B113" s="1605" t="inlineStr">
        <is>
          <t>UPPER CONN. 3-1/2" SENTINEL PRIME BOX 9.2 PPF TX28- 110 KSI
DESCRIPTION: 5 FEET XOVER
SAP: 130013006385
SUPPLIER: TBX
LOWER CONN. 3-1/2" VAM TOP PIN 9.2 PPF TX28-110 KSI</t>
        </is>
      </c>
      <c r="C113" s="1606" t="n">
        <v>4.97</v>
      </c>
      <c r="D113" s="1570">
        <f>C113-0.301</f>
        <v/>
      </c>
      <c r="E113" s="1571">
        <f>E112+D113</f>
        <v/>
      </c>
      <c r="F113" s="1571">
        <f>F112-D112</f>
        <v/>
      </c>
      <c r="G113" s="1572">
        <f>G112-D113</f>
        <v/>
      </c>
      <c r="H113" s="1593" t="n"/>
      <c r="K113" s="1578" t="n"/>
    </row>
    <row r="114" ht="39.75" customFormat="1" customHeight="1" s="1549">
      <c r="A114" s="1582" t="n"/>
      <c r="B114" s="160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06" t="n">
        <v>8.69</v>
      </c>
      <c r="D114" s="1570">
        <f>C114-0.301</f>
        <v/>
      </c>
      <c r="E114" s="1571">
        <f>E113+D114</f>
        <v/>
      </c>
      <c r="F114" s="1571">
        <f>F113-D113</f>
        <v/>
      </c>
      <c r="G114" s="1572">
        <f>G113-D114</f>
        <v/>
      </c>
      <c r="H114" s="1576" t="n"/>
      <c r="K114" s="1578" t="n"/>
    </row>
    <row r="115" ht="39.75" customFormat="1" customHeight="1" s="1549">
      <c r="A115" s="1582" t="n"/>
      <c r="B115" s="1605" t="inlineStr">
        <is>
          <t>UPPER CONN. 3-1/2" VAM TOP BOX 9.2 PPF TX28- 110 KSI
DESCRIPTION: 5 FEET XOVER
SAP: 130013006383
SUPPLIER: TBX
LOWER CONN -3-1/2" SENTINEL PRIME PIN 9.2 PPF TX28-110 KSI</t>
        </is>
      </c>
      <c r="C115" s="1606" t="n">
        <v>4.8</v>
      </c>
      <c r="D115" s="1570">
        <f>C115-0.301</f>
        <v/>
      </c>
      <c r="E115" s="1571">
        <f>E114+D115</f>
        <v/>
      </c>
      <c r="F115" s="1571">
        <f>F114-D114</f>
        <v/>
      </c>
      <c r="G115" s="1572">
        <f>G114-D115</f>
        <v/>
      </c>
      <c r="H115" s="1576" t="n"/>
      <c r="K115" s="1578" t="n"/>
    </row>
    <row r="116" ht="39.75" customFormat="1" customHeight="1" s="1549">
      <c r="A116" s="1148" t="n"/>
      <c r="B116" s="1605" t="inlineStr">
        <is>
          <t>UPPER CONN. 3-1/2" TSH BLUE BOX 9.2 PPF SN 28 110 KSI
DESCRIPTION: 10 FEET XOVER
SAP: 130005012487
SUPPLIER: TENARIS
LOWER CONN. 3-1/2" VAM TOP PIN 9.2 PPF SN 28 110 KSI</t>
        </is>
      </c>
      <c r="C116" s="1606" t="n">
        <v>9.949999999999999</v>
      </c>
      <c r="D116" s="1570">
        <f>C116-0.301</f>
        <v/>
      </c>
      <c r="E116" s="1571">
        <f>E115+D116</f>
        <v/>
      </c>
      <c r="F116" s="1571">
        <f>F115-D115</f>
        <v/>
      </c>
      <c r="G116" s="1572">
        <f>G115-D116</f>
        <v/>
      </c>
      <c r="H116" s="1576" t="n"/>
      <c r="K116" s="1578" t="n"/>
    </row>
    <row r="117" ht="39.75" customFormat="1" customHeight="1" s="1549">
      <c r="A117" s="1568" t="inlineStr">
        <is>
          <t>JT.#78</t>
        </is>
      </c>
      <c r="B117" s="1568" t="inlineStr">
        <is>
          <t>3 1/2" TSH</t>
        </is>
      </c>
      <c r="C117" s="1569" t="n">
        <v>31</v>
      </c>
      <c r="D117" s="1570">
        <f>C117-0.301</f>
        <v/>
      </c>
      <c r="E117" s="1571">
        <f>E116+D117</f>
        <v/>
      </c>
      <c r="F117" s="1571">
        <f>F116-D116</f>
        <v/>
      </c>
      <c r="G117" s="1572">
        <f>G116-D117</f>
        <v/>
      </c>
      <c r="H117" s="1576" t="n"/>
      <c r="K117" s="1578" t="n"/>
    </row>
    <row r="118" ht="39.75" customFormat="1" customHeight="1" s="1549">
      <c r="A118" s="1568" t="inlineStr">
        <is>
          <t>JT.#79</t>
        </is>
      </c>
      <c r="B118" s="1568" t="inlineStr">
        <is>
          <t>3 1/2" TSH</t>
        </is>
      </c>
      <c r="C118" s="1569" t="n">
        <v>31</v>
      </c>
      <c r="D118" s="1607">
        <f>C118-0.301</f>
        <v/>
      </c>
      <c r="E118" s="1571">
        <f>E117+D118</f>
        <v/>
      </c>
      <c r="F118" s="1571">
        <f>F117-D117</f>
        <v/>
      </c>
      <c r="G118" s="1572">
        <f>G117-D118</f>
        <v/>
      </c>
      <c r="H118" s="1592" t="n"/>
      <c r="K118" s="1578" t="n"/>
    </row>
    <row r="119" ht="39.75" customFormat="1" customHeight="1" s="1549">
      <c r="A119" s="1568" t="inlineStr">
        <is>
          <t>JT.#80</t>
        </is>
      </c>
      <c r="B119" s="1568" t="inlineStr">
        <is>
          <t>3 1/2" TSH</t>
        </is>
      </c>
      <c r="C119" s="1569" t="n">
        <v>31</v>
      </c>
      <c r="D119" s="1607">
        <f>C119-0.301</f>
        <v/>
      </c>
      <c r="E119" s="1571">
        <f>E118+D119</f>
        <v/>
      </c>
      <c r="F119" s="1571">
        <f>F118-D118</f>
        <v/>
      </c>
      <c r="G119" s="1572">
        <f>G118-D119</f>
        <v/>
      </c>
      <c r="H119" s="1576" t="n"/>
      <c r="K119" s="1578" t="n"/>
    </row>
    <row r="120" ht="39.75" customFormat="1" customHeight="1" s="1549">
      <c r="A120" s="1568" t="inlineStr">
        <is>
          <t>JT.#81</t>
        </is>
      </c>
      <c r="B120" s="1568" t="inlineStr">
        <is>
          <t>3 1/2" TSH</t>
        </is>
      </c>
      <c r="C120" s="1569" t="n">
        <v>31</v>
      </c>
      <c r="D120" s="1570">
        <f>C120-0.301</f>
        <v/>
      </c>
      <c r="E120" s="1571">
        <f>E119+D120</f>
        <v/>
      </c>
      <c r="F120" s="1571">
        <f>F119-D119</f>
        <v/>
      </c>
      <c r="G120" s="1572">
        <f>G119-D120</f>
        <v/>
      </c>
      <c r="H120" s="1576" t="n"/>
      <c r="K120" s="1578" t="n"/>
    </row>
    <row r="121" ht="39.75" customFormat="1" customHeight="1" s="1549">
      <c r="A121" s="1568" t="inlineStr">
        <is>
          <t>JT.#82</t>
        </is>
      </c>
      <c r="B121" s="1568" t="inlineStr">
        <is>
          <t>3 1/2" TSH</t>
        </is>
      </c>
      <c r="C121" s="1569" t="n">
        <v>31</v>
      </c>
      <c r="D121" s="1570">
        <f>C121-0.301</f>
        <v/>
      </c>
      <c r="E121" s="1571">
        <f>E120+D121</f>
        <v/>
      </c>
      <c r="F121" s="1571">
        <f>F120-D120</f>
        <v/>
      </c>
      <c r="G121" s="1572">
        <f>G120-D121</f>
        <v/>
      </c>
      <c r="H121" s="1576" t="n"/>
      <c r="K121" s="1578" t="n"/>
    </row>
    <row r="122" ht="39.75" customFormat="1" customHeight="1" s="1549">
      <c r="A122" s="1568" t="inlineStr">
        <is>
          <t>JT.#83</t>
        </is>
      </c>
      <c r="B122" s="1568" t="inlineStr">
        <is>
          <t>3 1/2" TSH</t>
        </is>
      </c>
      <c r="C122" s="1569" t="n">
        <v>31</v>
      </c>
      <c r="D122" s="1570">
        <f>C122-0.301</f>
        <v/>
      </c>
      <c r="E122" s="1571">
        <f>E121+D122</f>
        <v/>
      </c>
      <c r="F122" s="1571">
        <f>F121-D121</f>
        <v/>
      </c>
      <c r="G122" s="1572">
        <f>G121-D122</f>
        <v/>
      </c>
      <c r="H122" s="1576" t="n"/>
      <c r="K122" s="1578" t="n"/>
    </row>
    <row r="123" ht="39.75" customFormat="1" customHeight="1" s="1549">
      <c r="A123" s="1568" t="inlineStr">
        <is>
          <t>JT.#84</t>
        </is>
      </c>
      <c r="B123" s="1568" t="inlineStr">
        <is>
          <t>3 1/2" TSH</t>
        </is>
      </c>
      <c r="C123" s="1569" t="n">
        <v>31</v>
      </c>
      <c r="D123" s="1570">
        <f>C123-0.301</f>
        <v/>
      </c>
      <c r="E123" s="1571">
        <f>E122+D123</f>
        <v/>
      </c>
      <c r="F123" s="1571">
        <f>F122-D122</f>
        <v/>
      </c>
      <c r="G123" s="1572">
        <f>G122-D123</f>
        <v/>
      </c>
      <c r="H123" s="1576" t="n"/>
      <c r="K123" s="1578" t="n"/>
    </row>
    <row r="124" ht="39.75" customFormat="1" customHeight="1" s="1549">
      <c r="A124" s="1568" t="inlineStr">
        <is>
          <t>JT.#85</t>
        </is>
      </c>
      <c r="B124" s="1568" t="inlineStr">
        <is>
          <t>3 1/2" TSH</t>
        </is>
      </c>
      <c r="C124" s="1569" t="n">
        <v>31</v>
      </c>
      <c r="D124" s="1570">
        <f>C124-0.301</f>
        <v/>
      </c>
      <c r="E124" s="1571">
        <f>E123+D124</f>
        <v/>
      </c>
      <c r="F124" s="1571">
        <f>F123-D123</f>
        <v/>
      </c>
      <c r="G124" s="1572">
        <f>G123-D124</f>
        <v/>
      </c>
      <c r="H124" s="1593" t="n"/>
      <c r="K124" s="1578" t="n"/>
    </row>
    <row r="125" ht="39.75" customFormat="1" customHeight="1" s="1549">
      <c r="A125" s="1568" t="inlineStr">
        <is>
          <t>JT.#86</t>
        </is>
      </c>
      <c r="B125" s="1568" t="inlineStr">
        <is>
          <t>3 1/2" TSH</t>
        </is>
      </c>
      <c r="C125" s="1569" t="n">
        <v>31</v>
      </c>
      <c r="D125" s="1570">
        <f>C125-0.301</f>
        <v/>
      </c>
      <c r="E125" s="1571">
        <f>E124+D125</f>
        <v/>
      </c>
      <c r="F125" s="1571">
        <f>F124-D124</f>
        <v/>
      </c>
      <c r="G125" s="1572">
        <f>G124-D125</f>
        <v/>
      </c>
      <c r="H125" s="1576" t="n"/>
      <c r="K125" s="1578" t="n"/>
    </row>
    <row r="126" ht="39.75" customFormat="1" customHeight="1" s="1549">
      <c r="A126" s="1568" t="inlineStr">
        <is>
          <t>JT.#87</t>
        </is>
      </c>
      <c r="B126" s="1568" t="inlineStr">
        <is>
          <t>3 1/2" TSH</t>
        </is>
      </c>
      <c r="C126" s="1569" t="n">
        <v>31</v>
      </c>
      <c r="D126" s="1570">
        <f>C126-0.301</f>
        <v/>
      </c>
      <c r="E126" s="1571">
        <f>E125+D126</f>
        <v/>
      </c>
      <c r="F126" s="1571">
        <f>F125-D125</f>
        <v/>
      </c>
      <c r="G126" s="1572">
        <f>G125-D126</f>
        <v/>
      </c>
      <c r="H126" s="1576" t="n"/>
      <c r="K126" s="1578" t="n"/>
    </row>
    <row r="127" ht="39.75" customFormat="1" customHeight="1" s="1549">
      <c r="A127" s="1568" t="inlineStr">
        <is>
          <t>JT.#88</t>
        </is>
      </c>
      <c r="B127" s="1568" t="inlineStr">
        <is>
          <t>3 1/2" TSH</t>
        </is>
      </c>
      <c r="C127" s="1569" t="n">
        <v>31</v>
      </c>
      <c r="D127" s="1570">
        <f>C127-0.301</f>
        <v/>
      </c>
      <c r="E127" s="1571">
        <f>E126+D127</f>
        <v/>
      </c>
      <c r="F127" s="1571">
        <f>F126-D126</f>
        <v/>
      </c>
      <c r="G127" s="1572">
        <f>G126-D127</f>
        <v/>
      </c>
      <c r="H127" s="1576" t="n"/>
      <c r="K127" s="1578" t="n"/>
    </row>
    <row r="128" ht="39.75" customFormat="1" customHeight="1" s="1549">
      <c r="A128" s="1568" t="inlineStr">
        <is>
          <t>JT.#89</t>
        </is>
      </c>
      <c r="B128" s="1568" t="inlineStr">
        <is>
          <t>3 1/2" TSH</t>
        </is>
      </c>
      <c r="C128" s="1569" t="n">
        <v>31</v>
      </c>
      <c r="D128" s="1570">
        <f>C128-0.301</f>
        <v/>
      </c>
      <c r="E128" s="1571">
        <f>E127+D128</f>
        <v/>
      </c>
      <c r="F128" s="1571">
        <f>F127-D127</f>
        <v/>
      </c>
      <c r="G128" s="1572">
        <f>G127-D128</f>
        <v/>
      </c>
      <c r="H128" s="1576" t="n"/>
      <c r="K128" s="1578" t="n"/>
    </row>
    <row r="129" ht="39.75" customFormat="1" customHeight="1" s="1549">
      <c r="A129" s="1568" t="inlineStr">
        <is>
          <t>JT.#90</t>
        </is>
      </c>
      <c r="B129" s="1568" t="inlineStr">
        <is>
          <t>3 1/2" TSH</t>
        </is>
      </c>
      <c r="C129" s="1569" t="n">
        <v>31</v>
      </c>
      <c r="D129" s="1570">
        <f>C129-0.301</f>
        <v/>
      </c>
      <c r="E129" s="1571">
        <f>E128+D129</f>
        <v/>
      </c>
      <c r="F129" s="1571">
        <f>F128-D128</f>
        <v/>
      </c>
      <c r="G129" s="1572">
        <f>G128-D129</f>
        <v/>
      </c>
      <c r="H129" s="1576" t="n"/>
      <c r="K129" s="1578" t="n"/>
    </row>
    <row r="130" ht="39.75" customFormat="1" customHeight="1" s="1549">
      <c r="A130" s="1568" t="inlineStr">
        <is>
          <t>JT.#91</t>
        </is>
      </c>
      <c r="B130" s="1568" t="inlineStr">
        <is>
          <t>3 1/2" TSH</t>
        </is>
      </c>
      <c r="C130" s="1569" t="n">
        <v>31</v>
      </c>
      <c r="D130" s="1570">
        <f>C130-0.301</f>
        <v/>
      </c>
      <c r="E130" s="1571">
        <f>E129+D130</f>
        <v/>
      </c>
      <c r="F130" s="1571">
        <f>F129-D129</f>
        <v/>
      </c>
      <c r="G130" s="1572">
        <f>G129-D130</f>
        <v/>
      </c>
      <c r="H130" s="1576" t="n"/>
      <c r="K130" s="1578" t="n"/>
    </row>
    <row r="131" ht="39.75" customFormat="1" customHeight="1" s="1549">
      <c r="A131" s="1568" t="inlineStr">
        <is>
          <t>JT.#92</t>
        </is>
      </c>
      <c r="B131" s="1568" t="inlineStr">
        <is>
          <t>3 1/2" TSH</t>
        </is>
      </c>
      <c r="C131" s="1569" t="n">
        <v>31</v>
      </c>
      <c r="D131" s="1570">
        <f>C131-0.301</f>
        <v/>
      </c>
      <c r="E131" s="1571">
        <f>E130+D131</f>
        <v/>
      </c>
      <c r="F131" s="1571">
        <f>F130-D130</f>
        <v/>
      </c>
      <c r="G131" s="1572">
        <f>G130-D131</f>
        <v/>
      </c>
      <c r="H131" s="1576" t="n"/>
      <c r="K131" s="1578" t="n"/>
    </row>
    <row r="132" ht="39.75" customFormat="1" customHeight="1" s="1549">
      <c r="A132" s="1568" t="inlineStr">
        <is>
          <t>JT.#93</t>
        </is>
      </c>
      <c r="B132" s="1568" t="inlineStr">
        <is>
          <t>3 1/2" TSH</t>
        </is>
      </c>
      <c r="C132" s="1569" t="n">
        <v>31</v>
      </c>
      <c r="D132" s="1570">
        <f>C132-0.301</f>
        <v/>
      </c>
      <c r="E132" s="1571">
        <f>E131+D132</f>
        <v/>
      </c>
      <c r="F132" s="1571">
        <f>F131-D131</f>
        <v/>
      </c>
      <c r="G132" s="1572">
        <f>G131-D132</f>
        <v/>
      </c>
      <c r="H132" s="1576" t="n"/>
      <c r="K132" s="1578" t="n"/>
    </row>
    <row r="133" ht="39.75" customFormat="1" customHeight="1" s="1549">
      <c r="A133" s="1568" t="inlineStr">
        <is>
          <t>JT.#94</t>
        </is>
      </c>
      <c r="B133" s="1568" t="inlineStr">
        <is>
          <t>3 1/2" TSH</t>
        </is>
      </c>
      <c r="C133" s="1569" t="n">
        <v>31</v>
      </c>
      <c r="D133" s="1570">
        <f>C133-0.301</f>
        <v/>
      </c>
      <c r="E133" s="1571">
        <f>E132+D133</f>
        <v/>
      </c>
      <c r="F133" s="1571">
        <f>F132-D132</f>
        <v/>
      </c>
      <c r="G133" s="1572">
        <f>G132-D133</f>
        <v/>
      </c>
      <c r="H133" s="1593" t="n"/>
      <c r="K133" s="1578" t="n"/>
    </row>
    <row r="134" ht="39.75" customFormat="1" customHeight="1" s="1549">
      <c r="A134" s="1568" t="inlineStr">
        <is>
          <t>JT.#95</t>
        </is>
      </c>
      <c r="B134" s="1568" t="inlineStr">
        <is>
          <t>3 1/2" TSH</t>
        </is>
      </c>
      <c r="C134" s="1569" t="n">
        <v>31</v>
      </c>
      <c r="D134" s="1570">
        <f>C134-0.301</f>
        <v/>
      </c>
      <c r="E134" s="1571">
        <f>E133+D134</f>
        <v/>
      </c>
      <c r="F134" s="1571">
        <f>F133-D133</f>
        <v/>
      </c>
      <c r="G134" s="1572">
        <f>G133-D134</f>
        <v/>
      </c>
      <c r="H134" s="1576" t="n"/>
      <c r="K134" s="1578" t="n"/>
    </row>
    <row r="135" ht="39.75" customFormat="1" customHeight="1" s="1549">
      <c r="A135" s="1568" t="inlineStr">
        <is>
          <t>JT.#96</t>
        </is>
      </c>
      <c r="B135" s="1568" t="inlineStr">
        <is>
          <t>3 1/2" TSH</t>
        </is>
      </c>
      <c r="C135" s="1569" t="n">
        <v>31</v>
      </c>
      <c r="D135" s="1570">
        <f>C135-0.301</f>
        <v/>
      </c>
      <c r="E135" s="1571">
        <f>E134+D135</f>
        <v/>
      </c>
      <c r="F135" s="1571">
        <f>F134-D134</f>
        <v/>
      </c>
      <c r="G135" s="1572">
        <f>G134-D135</f>
        <v/>
      </c>
      <c r="H135" s="1576" t="n"/>
      <c r="K135" s="1578" t="n"/>
    </row>
    <row r="136" ht="39.75" customFormat="1" customHeight="1" s="1549">
      <c r="A136" s="1568" t="inlineStr">
        <is>
          <t>JT.#97</t>
        </is>
      </c>
      <c r="B136" s="1568" t="inlineStr">
        <is>
          <t>3 1/2" TSH</t>
        </is>
      </c>
      <c r="C136" s="1569" t="n">
        <v>31</v>
      </c>
      <c r="D136" s="1570">
        <f>C136-0.301</f>
        <v/>
      </c>
      <c r="E136" s="1571">
        <f>E135+D136</f>
        <v/>
      </c>
      <c r="F136" s="1571">
        <f>F135-D135</f>
        <v/>
      </c>
      <c r="G136" s="1572">
        <f>G135-D136</f>
        <v/>
      </c>
      <c r="H136" s="1576" t="n"/>
      <c r="K136" s="1578" t="n"/>
    </row>
    <row r="137" ht="39.75" customFormat="1" customHeight="1" s="1549">
      <c r="A137" s="1608" t="inlineStr">
        <is>
          <t>D3</t>
        </is>
      </c>
      <c r="B137" s="1609" t="inlineStr">
        <is>
          <t>UPPER CONN. 3-1/2" VAM TOP BOX 9.2 PPF SN 28 110 KSI
DESCRIPTION: 5 FEET XOVER
SAP: 130005011340
SUPPLIER: TENARIS
LOWER CONN. 3-1/2" TSH BLUE PIN 9.2 PPF SN 28 110 KSI</t>
        </is>
      </c>
      <c r="C137" s="1610" t="n">
        <v>5.19</v>
      </c>
      <c r="D137" s="1570">
        <f>C137-0.301</f>
        <v/>
      </c>
      <c r="E137" s="1571">
        <f>E136+D137</f>
        <v/>
      </c>
      <c r="F137" s="1571">
        <f>F136-D136</f>
        <v/>
      </c>
      <c r="G137" s="1572">
        <f>G136-D137</f>
        <v/>
      </c>
      <c r="H137" s="1576" t="n"/>
      <c r="K137" s="1578" t="n"/>
    </row>
    <row r="138" ht="39.75" customFormat="1" customHeight="1" s="1549">
      <c r="A138" s="1582" t="n"/>
      <c r="B138" s="1609" t="inlineStr">
        <is>
          <t>UPPER CONN. 3-1/2" SENTINEL PRIME BOX 9.2 PPF TX28-110 KSI
DESCRIPTION: 5 FEET XOVER
SAP: 130013006385
SUPPLIER: TBX
LOWER CONN. 3-1/2" VAM TOP PIN 9.2 PPF TX28-110 KSI</t>
        </is>
      </c>
      <c r="C138" s="1610" t="n">
        <v>4.96</v>
      </c>
      <c r="D138" s="1570">
        <f>C138-0.301</f>
        <v/>
      </c>
      <c r="E138" s="1571">
        <f>E137+D138</f>
        <v/>
      </c>
      <c r="F138" s="1571">
        <f>F137-D137</f>
        <v/>
      </c>
      <c r="G138" s="1572">
        <f>G137-D138</f>
        <v/>
      </c>
      <c r="H138" s="1576" t="n"/>
      <c r="K138" s="1578" t="n"/>
    </row>
    <row r="139" ht="39.75" customFormat="1" customHeight="1" s="1549">
      <c r="A139" s="1582" t="n"/>
      <c r="B139" s="1609"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10" t="n">
        <v>8.69</v>
      </c>
      <c r="D139" s="1570">
        <f>C139-0.301</f>
        <v/>
      </c>
      <c r="E139" s="1571">
        <f>E138+D139</f>
        <v/>
      </c>
      <c r="F139" s="1571">
        <f>F138-D138</f>
        <v/>
      </c>
      <c r="G139" s="1572">
        <f>G138-D139</f>
        <v/>
      </c>
      <c r="H139" s="1576" t="n"/>
      <c r="K139" s="1578" t="n"/>
    </row>
    <row r="140" ht="39.75" customFormat="1" customHeight="1" s="1549">
      <c r="A140" s="1582" t="n"/>
      <c r="B140" s="1609" t="inlineStr">
        <is>
          <t>UPPER CONN. 3-1/2" VAM TOP BOX 9.2 PPF TX28- 110 KSI
DESCRIPTION: 5 FEET XOVER
SAP: 130013006383
SUPPLIER: TBX
LOWER CONN -3-1/2" SENTINEL PRIME PIN 9.2 PPF TX28-110 KSI</t>
        </is>
      </c>
      <c r="C140" s="1610" t="n">
        <v>4.88</v>
      </c>
      <c r="D140" s="1570">
        <f>C140-0.301</f>
        <v/>
      </c>
      <c r="E140" s="1571">
        <f>E139+D140</f>
        <v/>
      </c>
      <c r="F140" s="1571">
        <f>F139-D139</f>
        <v/>
      </c>
      <c r="G140" s="1572">
        <f>G139-D140</f>
        <v/>
      </c>
      <c r="H140" s="1576" t="n"/>
      <c r="K140" s="1578" t="n"/>
    </row>
    <row r="141" ht="39.75" customFormat="1" customHeight="1" s="1549">
      <c r="A141" s="1148" t="n"/>
      <c r="B141" s="1609" t="inlineStr">
        <is>
          <t>UPPER CONN. 3-1/2" TSH BLUE BOX 9.2 PPF SN 28 110 KSI
DESCRIPTION: 10 FEET XOVER
SAP: 130005012487
SUPPLIER: TENARIS
LOWER CONN. 3-1/2" VAM TOP PIN 9.2 PPF SN 28 110 KSI</t>
        </is>
      </c>
      <c r="C141" s="1610" t="n">
        <v>9.93</v>
      </c>
      <c r="D141" s="1570">
        <f>C141-0.301</f>
        <v/>
      </c>
      <c r="E141" s="1571">
        <f>E140+D141</f>
        <v/>
      </c>
      <c r="F141" s="1571">
        <f>F140-D140</f>
        <v/>
      </c>
      <c r="G141" s="1572">
        <f>G140-D141</f>
        <v/>
      </c>
      <c r="H141" s="1576" t="n"/>
      <c r="K141" s="1578" t="n"/>
    </row>
    <row r="142" ht="39.75" customFormat="1" customHeight="1" s="1549">
      <c r="A142" s="1568" t="inlineStr">
        <is>
          <t>JT.#98</t>
        </is>
      </c>
      <c r="B142" s="1568" t="inlineStr">
        <is>
          <t>3 1/2" TSH</t>
        </is>
      </c>
      <c r="C142" s="1569" t="n">
        <v>31</v>
      </c>
      <c r="D142" s="1570">
        <f>C142-0.301</f>
        <v/>
      </c>
      <c r="E142" s="1571">
        <f>E141+D142</f>
        <v/>
      </c>
      <c r="F142" s="1571">
        <f>F141-D141</f>
        <v/>
      </c>
      <c r="G142" s="1572">
        <f>G141-D142</f>
        <v/>
      </c>
      <c r="H142" s="1576" t="n"/>
      <c r="K142" s="1578" t="n"/>
    </row>
    <row r="143" ht="39.75" customFormat="1" customHeight="1" s="1549">
      <c r="A143" s="1568" t="inlineStr">
        <is>
          <t>JT.#99</t>
        </is>
      </c>
      <c r="B143" s="1568" t="inlineStr">
        <is>
          <t>3 1/2" TSH</t>
        </is>
      </c>
      <c r="C143" s="1569" t="n">
        <v>31</v>
      </c>
      <c r="D143" s="1570">
        <f>C143-0.301</f>
        <v/>
      </c>
      <c r="E143" s="1571">
        <f>E142+D143</f>
        <v/>
      </c>
      <c r="F143" s="1571">
        <f>F142-D142</f>
        <v/>
      </c>
      <c r="G143" s="1572">
        <f>G142-D143</f>
        <v/>
      </c>
      <c r="H143" s="1593" t="n"/>
      <c r="K143" s="1578" t="n"/>
    </row>
    <row r="144" ht="39.75" customFormat="1" customHeight="1" s="1549">
      <c r="A144" s="1568" t="inlineStr">
        <is>
          <t>JT.#100</t>
        </is>
      </c>
      <c r="B144" s="1568" t="inlineStr">
        <is>
          <t>3 1/2" TSH</t>
        </is>
      </c>
      <c r="C144" s="1569" t="n">
        <v>31</v>
      </c>
      <c r="D144" s="1570">
        <f>C144-0.301</f>
        <v/>
      </c>
      <c r="E144" s="1571">
        <f>E143+D144</f>
        <v/>
      </c>
      <c r="F144" s="1571">
        <f>F143-D143</f>
        <v/>
      </c>
      <c r="G144" s="1572">
        <f>G143-D144</f>
        <v/>
      </c>
      <c r="H144" s="1576" t="n"/>
      <c r="K144" s="1578" t="n"/>
    </row>
    <row r="145" ht="39.75" customFormat="1" customHeight="1" s="1549">
      <c r="A145" s="1568" t="inlineStr">
        <is>
          <t>JT.#101</t>
        </is>
      </c>
      <c r="B145" s="1568" t="inlineStr">
        <is>
          <t>3 1/2" TSH</t>
        </is>
      </c>
      <c r="C145" s="1569" t="n">
        <v>31</v>
      </c>
      <c r="D145" s="1570">
        <f>C145-0.301</f>
        <v/>
      </c>
      <c r="E145" s="1571">
        <f>E144+D145</f>
        <v/>
      </c>
      <c r="F145" s="1571">
        <f>F144-D144</f>
        <v/>
      </c>
      <c r="G145" s="1572">
        <f>G144-D145</f>
        <v/>
      </c>
      <c r="H145" s="1576" t="n"/>
      <c r="K145" s="1578" t="n"/>
    </row>
    <row r="146" ht="39.75" customFormat="1" customHeight="1" s="1549">
      <c r="A146" s="1568" t="inlineStr">
        <is>
          <t>JT.#102</t>
        </is>
      </c>
      <c r="B146" s="1568" t="inlineStr">
        <is>
          <t>3 1/2" TSH</t>
        </is>
      </c>
      <c r="C146" s="1569" t="n">
        <v>31</v>
      </c>
      <c r="D146" s="1570">
        <f>C146-0.301</f>
        <v/>
      </c>
      <c r="E146" s="1571">
        <f>E145+D146</f>
        <v/>
      </c>
      <c r="F146" s="1571">
        <f>F145-D145</f>
        <v/>
      </c>
      <c r="G146" s="1572">
        <f>G145-D146</f>
        <v/>
      </c>
      <c r="H146" s="1576" t="n"/>
      <c r="K146" s="1578" t="n"/>
    </row>
    <row r="147" ht="39.75" customFormat="1" customHeight="1" s="1549">
      <c r="A147" s="1568" t="inlineStr">
        <is>
          <t>JT.#103</t>
        </is>
      </c>
      <c r="B147" s="1568" t="inlineStr">
        <is>
          <t>3 1/2" TSH</t>
        </is>
      </c>
      <c r="C147" s="1569" t="n">
        <v>31</v>
      </c>
      <c r="D147" s="1570">
        <f>C147-0.301</f>
        <v/>
      </c>
      <c r="E147" s="1571">
        <f>E146+D147</f>
        <v/>
      </c>
      <c r="F147" s="1571">
        <f>F146-D146</f>
        <v/>
      </c>
      <c r="G147" s="1572">
        <f>G146-D147</f>
        <v/>
      </c>
      <c r="H147" s="1576" t="n"/>
      <c r="K147" s="1578" t="n"/>
    </row>
    <row r="148" ht="39.75" customFormat="1" customHeight="1" s="1549">
      <c r="A148" s="1568" t="inlineStr">
        <is>
          <t>JT.#104</t>
        </is>
      </c>
      <c r="B148" s="1568" t="inlineStr">
        <is>
          <t>3 1/2" TSH</t>
        </is>
      </c>
      <c r="C148" s="1569" t="n">
        <v>31</v>
      </c>
      <c r="D148" s="1607">
        <f>C148-0.301</f>
        <v/>
      </c>
      <c r="E148" s="1571">
        <f>E147+D148</f>
        <v/>
      </c>
      <c r="F148" s="1571">
        <f>F147-D147</f>
        <v/>
      </c>
      <c r="G148" s="1572">
        <f>G147-D148</f>
        <v/>
      </c>
      <c r="H148" s="1592" t="n"/>
      <c r="K148" s="1578" t="n"/>
    </row>
    <row r="149" ht="39.75" customFormat="1" customHeight="1" s="1549">
      <c r="A149" s="1568" t="inlineStr">
        <is>
          <t>JT.#105</t>
        </is>
      </c>
      <c r="B149" s="1568" t="inlineStr">
        <is>
          <t>3 1/2" TSH</t>
        </is>
      </c>
      <c r="C149" s="1569" t="n">
        <v>31</v>
      </c>
      <c r="D149" s="1607">
        <f>C149-0.301</f>
        <v/>
      </c>
      <c r="E149" s="1571">
        <f>E148+D149</f>
        <v/>
      </c>
      <c r="F149" s="1571">
        <f>F148-D148</f>
        <v/>
      </c>
      <c r="G149" s="1572">
        <f>G148-D149</f>
        <v/>
      </c>
      <c r="H149" s="1611" t="n"/>
      <c r="K149" s="1578" t="n"/>
    </row>
    <row r="150" ht="39.75" customFormat="1" customHeight="1" s="1549">
      <c r="A150" s="1568" t="inlineStr">
        <is>
          <t>JT.#106</t>
        </is>
      </c>
      <c r="B150" s="1568" t="inlineStr">
        <is>
          <t>3 1/2" TSH</t>
        </is>
      </c>
      <c r="C150" s="1569" t="n">
        <v>31</v>
      </c>
      <c r="D150" s="1570">
        <f>C150-0.301</f>
        <v/>
      </c>
      <c r="E150" s="1571">
        <f>E149+D150</f>
        <v/>
      </c>
      <c r="F150" s="1571">
        <f>F149-D149</f>
        <v/>
      </c>
      <c r="G150" s="1572">
        <f>G149-D150</f>
        <v/>
      </c>
      <c r="H150" s="1576" t="n"/>
      <c r="K150" s="1578" t="n"/>
    </row>
    <row r="151" ht="39.75" customFormat="1" customHeight="1" s="1549">
      <c r="A151" s="1568" t="inlineStr">
        <is>
          <t>JT.#107</t>
        </is>
      </c>
      <c r="B151" s="1568" t="inlineStr">
        <is>
          <t>3 1/2" TSH</t>
        </is>
      </c>
      <c r="C151" s="1569" t="n">
        <v>31</v>
      </c>
      <c r="D151" s="1570">
        <f>C151-0.301</f>
        <v/>
      </c>
      <c r="E151" s="1571">
        <f>E150+D151</f>
        <v/>
      </c>
      <c r="F151" s="1571">
        <f>F150-D150</f>
        <v/>
      </c>
      <c r="G151" s="1572">
        <f>G150-D151</f>
        <v/>
      </c>
      <c r="H151" s="1576" t="n"/>
      <c r="K151" s="1578" t="n"/>
    </row>
    <row r="152" ht="39.75" customFormat="1" customHeight="1" s="1549">
      <c r="A152" s="1568" t="inlineStr">
        <is>
          <t>JT.#108</t>
        </is>
      </c>
      <c r="B152" s="1568" t="inlineStr">
        <is>
          <t>3 1/2" TSH</t>
        </is>
      </c>
      <c r="C152" s="1569" t="n">
        <v>31</v>
      </c>
      <c r="D152" s="1570">
        <f>C152-0.301</f>
        <v/>
      </c>
      <c r="E152" s="1571">
        <f>E151+D152</f>
        <v/>
      </c>
      <c r="F152" s="1571">
        <f>F151-D151</f>
        <v/>
      </c>
      <c r="G152" s="1572">
        <f>G151-D152</f>
        <v/>
      </c>
      <c r="H152" s="1576" t="n"/>
      <c r="K152" s="1578" t="n"/>
    </row>
    <row r="153" ht="39.75" customFormat="1" customHeight="1" s="1549">
      <c r="A153" s="1568" t="inlineStr">
        <is>
          <t>JT.#109</t>
        </is>
      </c>
      <c r="B153" s="1568" t="inlineStr">
        <is>
          <t>3 1/2" TSH</t>
        </is>
      </c>
      <c r="C153" s="1569" t="n">
        <v>31</v>
      </c>
      <c r="D153" s="1570">
        <f>C153-0.301</f>
        <v/>
      </c>
      <c r="E153" s="1571">
        <f>E152+D153</f>
        <v/>
      </c>
      <c r="F153" s="1571">
        <f>F152-D152</f>
        <v/>
      </c>
      <c r="G153" s="1572">
        <f>G152-D153</f>
        <v/>
      </c>
      <c r="H153" s="1593" t="n"/>
      <c r="K153" s="1578" t="n"/>
    </row>
    <row r="154" ht="39.75" customFormat="1" customHeight="1" s="1549">
      <c r="A154" s="1568" t="inlineStr">
        <is>
          <t>JT.#110</t>
        </is>
      </c>
      <c r="B154" s="1568" t="inlineStr">
        <is>
          <t>3 1/2" TSH</t>
        </is>
      </c>
      <c r="C154" s="1569" t="n">
        <v>31</v>
      </c>
      <c r="D154" s="1570">
        <f>C154-0.301</f>
        <v/>
      </c>
      <c r="E154" s="1571">
        <f>E153+D154</f>
        <v/>
      </c>
      <c r="F154" s="1571">
        <f>F153-D153</f>
        <v/>
      </c>
      <c r="G154" s="1572">
        <f>G153-D154</f>
        <v/>
      </c>
      <c r="H154" s="1576" t="n"/>
      <c r="K154" s="1578" t="n"/>
    </row>
    <row r="155" ht="39.75" customFormat="1" customHeight="1" s="1549">
      <c r="A155" s="1568" t="inlineStr">
        <is>
          <t>JT.#111</t>
        </is>
      </c>
      <c r="B155" s="1568" t="inlineStr">
        <is>
          <t>3 1/2" TSH</t>
        </is>
      </c>
      <c r="C155" s="1569" t="n">
        <v>31</v>
      </c>
      <c r="D155" s="1570">
        <f>C155-0.301</f>
        <v/>
      </c>
      <c r="E155" s="1571">
        <f>E154+D155</f>
        <v/>
      </c>
      <c r="F155" s="1571">
        <f>F154-D154</f>
        <v/>
      </c>
      <c r="G155" s="1572">
        <f>G154-D155</f>
        <v/>
      </c>
      <c r="H155" s="1576" t="n"/>
      <c r="K155" s="1578" t="n"/>
    </row>
    <row r="156" ht="39.75" customFormat="1" customHeight="1" s="1549">
      <c r="A156" s="1568" t="inlineStr">
        <is>
          <t>JT.#112</t>
        </is>
      </c>
      <c r="B156" s="1568" t="inlineStr">
        <is>
          <t>3 1/2" TSH</t>
        </is>
      </c>
      <c r="C156" s="1569" t="n">
        <v>31</v>
      </c>
      <c r="D156" s="1570">
        <f>C156-0.301</f>
        <v/>
      </c>
      <c r="E156" s="1571">
        <f>E155+D156</f>
        <v/>
      </c>
      <c r="F156" s="1571">
        <f>F155-D155</f>
        <v/>
      </c>
      <c r="G156" s="1572">
        <f>G155-D156</f>
        <v/>
      </c>
      <c r="H156" s="1576" t="n"/>
      <c r="K156" s="1578" t="n"/>
    </row>
    <row r="157" ht="39.75" customFormat="1" customHeight="1" s="1549">
      <c r="A157" s="1568" t="inlineStr">
        <is>
          <t>JT.#113</t>
        </is>
      </c>
      <c r="B157" s="1568" t="inlineStr">
        <is>
          <t>3 1/2" TSH</t>
        </is>
      </c>
      <c r="C157" s="1569" t="n">
        <v>31</v>
      </c>
      <c r="D157" s="1570">
        <f>C157-0.301</f>
        <v/>
      </c>
      <c r="E157" s="1571">
        <f>E156+D157</f>
        <v/>
      </c>
      <c r="F157" s="1571">
        <f>F156-D156</f>
        <v/>
      </c>
      <c r="G157" s="1572">
        <f>G156-D157</f>
        <v/>
      </c>
      <c r="H157" s="1576" t="n"/>
      <c r="K157" s="1578" t="n"/>
    </row>
    <row r="158" ht="39.75" customFormat="1" customHeight="1" s="1549">
      <c r="A158" s="1568" t="inlineStr">
        <is>
          <t>JT.#114</t>
        </is>
      </c>
      <c r="B158" s="1568" t="inlineStr">
        <is>
          <t>3 1/2" TSH</t>
        </is>
      </c>
      <c r="C158" s="1569" t="n">
        <v>31</v>
      </c>
      <c r="D158" s="1570">
        <f>C158-0.301</f>
        <v/>
      </c>
      <c r="E158" s="1571">
        <f>E157+D158</f>
        <v/>
      </c>
      <c r="F158" s="1571">
        <f>F157-D157</f>
        <v/>
      </c>
      <c r="G158" s="1572">
        <f>G157-D158</f>
        <v/>
      </c>
      <c r="H158" s="1576" t="n"/>
      <c r="K158" s="1578" t="n"/>
    </row>
    <row r="159" ht="39.75" customFormat="1" customHeight="1" s="1549">
      <c r="A159" s="1568" t="inlineStr">
        <is>
          <t>JT.#115</t>
        </is>
      </c>
      <c r="B159" s="1568" t="inlineStr">
        <is>
          <t>3 1/2" TSH</t>
        </is>
      </c>
      <c r="C159" s="1569" t="n">
        <v>31</v>
      </c>
      <c r="D159" s="1570">
        <f>C159-0.301</f>
        <v/>
      </c>
      <c r="E159" s="1571">
        <f>E158+D159</f>
        <v/>
      </c>
      <c r="F159" s="1571">
        <f>F158-D158</f>
        <v/>
      </c>
      <c r="G159" s="1572">
        <f>G158-D159</f>
        <v/>
      </c>
      <c r="H159" s="1576" t="n"/>
      <c r="K159" s="1578" t="n"/>
    </row>
    <row r="160" ht="39.75" customFormat="1" customHeight="1" s="1549">
      <c r="A160" s="1568" t="inlineStr">
        <is>
          <t>JT.#116</t>
        </is>
      </c>
      <c r="B160" s="1568" t="inlineStr">
        <is>
          <t>3 1/2" TSH</t>
        </is>
      </c>
      <c r="C160" s="1569" t="n">
        <v>31</v>
      </c>
      <c r="D160" s="1570">
        <f>C160-0.301</f>
        <v/>
      </c>
      <c r="E160" s="1571">
        <f>E159+D160</f>
        <v/>
      </c>
      <c r="F160" s="1571">
        <f>F159-D159</f>
        <v/>
      </c>
      <c r="G160" s="1572">
        <f>G159-D160</f>
        <v/>
      </c>
      <c r="H160" s="1576" t="n"/>
      <c r="K160" s="1578" t="n"/>
    </row>
    <row r="161" ht="39.75" customFormat="1" customHeight="1" s="1549">
      <c r="A161" s="1568" t="inlineStr">
        <is>
          <t>JT.#117</t>
        </is>
      </c>
      <c r="B161" s="1568" t="inlineStr">
        <is>
          <t>3 1/2" TSH</t>
        </is>
      </c>
      <c r="C161" s="1569" t="n">
        <v>31</v>
      </c>
      <c r="D161" s="1570">
        <f>C161-0.301</f>
        <v/>
      </c>
      <c r="E161" s="1571">
        <f>E160+D161</f>
        <v/>
      </c>
      <c r="F161" s="1571">
        <f>F160-D160</f>
        <v/>
      </c>
      <c r="G161" s="1572">
        <f>G160-D161</f>
        <v/>
      </c>
      <c r="H161" s="1576" t="n"/>
      <c r="K161" s="1578" t="n"/>
    </row>
    <row r="162" ht="39.75" customFormat="1" customHeight="1" s="1549">
      <c r="A162" s="1612" t="inlineStr">
        <is>
          <t>D4</t>
        </is>
      </c>
      <c r="B162" s="1613" t="inlineStr">
        <is>
          <t>UPPER CONN. 3-1/2" VAM TOP BOX 9.2 PPF SN 28 110 KSI
DESCRIPTION: 5 FEET XOVER
SAP: 130005011340
SUPPLIER: TENARIS
LOWER CONN. 3-1/2" TSH BLUE PIN 9.2 PPF SN 28 110 KSI</t>
        </is>
      </c>
      <c r="C162" s="1614" t="n">
        <v>5.18</v>
      </c>
      <c r="D162" s="1570">
        <f>C162-0.301</f>
        <v/>
      </c>
      <c r="E162" s="1571">
        <f>E161+D162</f>
        <v/>
      </c>
      <c r="F162" s="1571">
        <f>F161-D161</f>
        <v/>
      </c>
      <c r="G162" s="1572">
        <f>G161-D162</f>
        <v/>
      </c>
      <c r="H162" s="1576" t="n"/>
      <c r="K162" s="1578" t="n"/>
    </row>
    <row r="163" ht="39.75" customFormat="1" customHeight="1" s="1549">
      <c r="A163" s="1582" t="n"/>
      <c r="B163" s="1613" t="inlineStr">
        <is>
          <t>UPPER CONN. 3-1/2" SENTINEL PRIME BOX 9.2 PPF TX28-110 KSI
DESCRIPTION: 5 FEET XOVER
SAP: 130013006385
SUPPLIER: TBX
LOWER CONN. 3-1/2" VAM TOP PIN 9.2 PPF TX28-110 KSI</t>
        </is>
      </c>
      <c r="C163" s="1614" t="n">
        <v>4.96</v>
      </c>
      <c r="D163" s="1570">
        <f>C163-0.301</f>
        <v/>
      </c>
      <c r="E163" s="1571">
        <f>E162+D163</f>
        <v/>
      </c>
      <c r="F163" s="1571">
        <f>F162-D162</f>
        <v/>
      </c>
      <c r="G163" s="1572">
        <f>G162-D163</f>
        <v/>
      </c>
      <c r="K163" s="1578" t="n"/>
    </row>
    <row r="164" ht="129" customFormat="1" customHeight="1" s="1549">
      <c r="A164" s="1582" t="n"/>
      <c r="B164" s="1613"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14" t="n">
        <v>8.69</v>
      </c>
      <c r="D164" s="1615">
        <f>C164-0.301</f>
        <v/>
      </c>
      <c r="E164" s="1571">
        <f>E163+D164</f>
        <v/>
      </c>
      <c r="F164" s="1571">
        <f>F163-D163</f>
        <v/>
      </c>
      <c r="G164" s="1572">
        <f>G163-D164</f>
        <v/>
      </c>
      <c r="H164" s="1616" t="n"/>
    </row>
    <row r="165" ht="129" customFormat="1" customHeight="1" s="1549">
      <c r="A165" s="1582" t="n"/>
      <c r="B165" s="1613" t="inlineStr">
        <is>
          <t>UPPER CONN. 3-1/2" VAM TOP BOX 9.2 PPF TX28- 110 KSI
DESCRIPTION: 10 FEET XOVER
SAP: 1130013006387
SUPPLIER: TBX
LOWER CONN-3-1/2" SENTINELPRIME PIN 9.2 PPF TX28110 KSI</t>
        </is>
      </c>
      <c r="C165" s="1614" t="n">
        <v>9.779999999999999</v>
      </c>
      <c r="D165" s="1615">
        <f>C165</f>
        <v/>
      </c>
      <c r="E165" s="1571">
        <f>E164+D165</f>
        <v/>
      </c>
      <c r="F165" s="1571">
        <f>F164-D164</f>
        <v/>
      </c>
      <c r="G165" s="1572">
        <f>G164-D165</f>
        <v/>
      </c>
      <c r="H165" s="1616" t="n"/>
    </row>
    <row r="166" ht="204" customFormat="1" customHeight="1" s="1549">
      <c r="A166" s="1148" t="n"/>
      <c r="B166" s="1613" t="inlineStr">
        <is>
          <t>UPPER CONN. 3-1/2" TSH BLUE BOX 9.2 PPF SN 28 110 KSI
DESCRIPTION: 5 FEET XOVER
SAP: 130005011340
SUPPLIER: TENARIS
LOWER CONN. 3-1/2" VAM TOP PIN 9.2 PPF SN 28 110 KSI</t>
        </is>
      </c>
      <c r="C166" s="1614" t="n">
        <v>4.96</v>
      </c>
      <c r="D166" s="1617">
        <f>C166</f>
        <v/>
      </c>
      <c r="E166" s="1571">
        <f>E165+D166</f>
        <v/>
      </c>
      <c r="F166" s="1571">
        <f>F165-D165</f>
        <v/>
      </c>
      <c r="G166" s="1572">
        <f>G165-D166</f>
        <v/>
      </c>
      <c r="H166" s="1618" t="n"/>
    </row>
    <row r="167" ht="141.75" customFormat="1" customHeight="1" s="1549">
      <c r="A167" s="1568" t="inlineStr">
        <is>
          <t>JT.#118</t>
        </is>
      </c>
      <c r="B167" s="1568" t="inlineStr">
        <is>
          <t>3 1/2" TSH</t>
        </is>
      </c>
      <c r="C167" s="1569" t="n">
        <v>31</v>
      </c>
      <c r="D167" s="1619">
        <f>C167</f>
        <v/>
      </c>
      <c r="E167" s="1571">
        <f>E166+D167</f>
        <v/>
      </c>
      <c r="F167" s="1571">
        <f>F166-D166</f>
        <v/>
      </c>
      <c r="G167" s="1572">
        <f>G166-D167</f>
        <v/>
      </c>
      <c r="H167" s="1620" t="n"/>
      <c r="I167" s="1549">
        <f>364-146</f>
        <v/>
      </c>
    </row>
    <row r="168" ht="141.75" customFormat="1" customHeight="1" s="1549">
      <c r="A168" s="1568" t="inlineStr">
        <is>
          <t>JT.#119</t>
        </is>
      </c>
      <c r="B168" s="1568" t="inlineStr">
        <is>
          <t>3 1/2" TSH</t>
        </is>
      </c>
      <c r="C168" s="1569" t="n">
        <v>31</v>
      </c>
      <c r="D168" s="1619">
        <f>C168</f>
        <v/>
      </c>
      <c r="E168" s="1571">
        <f>E167+D168</f>
        <v/>
      </c>
      <c r="F168" s="1571">
        <f>F167-D167</f>
        <v/>
      </c>
      <c r="G168" s="1572">
        <f>G167-D168</f>
        <v/>
      </c>
      <c r="H168" s="1621" t="n"/>
      <c r="J168" s="1622">
        <f>I167/10</f>
        <v/>
      </c>
      <c r="O168" s="1549">
        <f>J167/10</f>
        <v/>
      </c>
    </row>
    <row r="169" ht="39.75" customFormat="1" customHeight="1" s="1549">
      <c r="A169" s="1568" t="inlineStr">
        <is>
          <t>JT.#120</t>
        </is>
      </c>
      <c r="B169" s="1568" t="inlineStr">
        <is>
          <t>3 1/2" TSH</t>
        </is>
      </c>
      <c r="C169" s="1569" t="n">
        <v>31</v>
      </c>
      <c r="D169" s="1570">
        <f>C169-0.301</f>
        <v/>
      </c>
      <c r="E169" s="1571">
        <f>E168+D169</f>
        <v/>
      </c>
      <c r="F169" s="1571">
        <f>F168-D168</f>
        <v/>
      </c>
      <c r="G169" s="1572">
        <f>G168-D169</f>
        <v/>
      </c>
      <c r="H169" s="1576" t="n"/>
      <c r="K169" s="1578" t="n"/>
    </row>
    <row r="170" ht="39" customFormat="1" customHeight="1" s="1549">
      <c r="A170" s="1568" t="inlineStr">
        <is>
          <t>JT.#121</t>
        </is>
      </c>
      <c r="B170" s="1568" t="inlineStr">
        <is>
          <t>3 1/2" TSH</t>
        </is>
      </c>
      <c r="C170" s="1569" t="n">
        <v>31</v>
      </c>
      <c r="D170" s="1570">
        <f>C170-0.301</f>
        <v/>
      </c>
      <c r="E170" s="1571">
        <f>E169+D170</f>
        <v/>
      </c>
      <c r="F170" s="1571">
        <f>F169-D169</f>
        <v/>
      </c>
      <c r="G170" s="1572">
        <f>G169-D170</f>
        <v/>
      </c>
      <c r="H170" s="1594" t="inlineStr">
        <is>
          <t xml:space="preserve">FILL UP STRING </t>
        </is>
      </c>
      <c r="K170" s="1578" t="n"/>
    </row>
    <row r="171" ht="123" customFormat="1" customHeight="1" s="1549">
      <c r="A171" s="1568" t="inlineStr">
        <is>
          <t>JT.#122</t>
        </is>
      </c>
      <c r="B171" s="1568" t="inlineStr">
        <is>
          <t>3 1/2" TSH</t>
        </is>
      </c>
      <c r="C171" s="1569" t="n">
        <v>31</v>
      </c>
      <c r="D171" s="1615">
        <f>C171-0.252</f>
        <v/>
      </c>
      <c r="E171" s="1571">
        <f>E170+D171</f>
        <v/>
      </c>
      <c r="F171" s="1571">
        <f>F170-D170</f>
        <v/>
      </c>
      <c r="G171" s="1572">
        <f>G170-D171</f>
        <v/>
      </c>
      <c r="H171" s="1623" t="n"/>
      <c r="J171" s="1549">
        <f>J168*4</f>
        <v/>
      </c>
    </row>
    <row r="172" ht="163.5" customFormat="1" customHeight="1" s="1549">
      <c r="A172" s="1568" t="inlineStr">
        <is>
          <t>JT.#123</t>
        </is>
      </c>
      <c r="B172" s="1568" t="inlineStr">
        <is>
          <t>3 1/2" TSH</t>
        </is>
      </c>
      <c r="C172" s="1569" t="n">
        <v>31</v>
      </c>
      <c r="D172" s="1617">
        <f>C172</f>
        <v/>
      </c>
      <c r="E172" s="1571">
        <f>E171+D172</f>
        <v/>
      </c>
      <c r="F172" s="1571">
        <f>F171-D171</f>
        <v/>
      </c>
      <c r="G172" s="1572">
        <f>G171-D172</f>
        <v/>
      </c>
      <c r="H172" s="1618" t="n"/>
      <c r="J172" s="1549">
        <f>J171/60</f>
        <v/>
      </c>
    </row>
    <row r="173" ht="180.75" customFormat="1" customHeight="1" s="1549">
      <c r="A173" s="1568" t="inlineStr">
        <is>
          <t>JT.#124</t>
        </is>
      </c>
      <c r="B173" s="1568" t="inlineStr">
        <is>
          <t>3 1/2" TSH</t>
        </is>
      </c>
      <c r="C173" s="1569" t="n">
        <v>31</v>
      </c>
      <c r="D173" s="1617">
        <f>C173</f>
        <v/>
      </c>
      <c r="E173" s="1571">
        <f>E172+D173</f>
        <v/>
      </c>
      <c r="F173" s="1571">
        <f>F172-D172</f>
        <v/>
      </c>
      <c r="G173" s="1572">
        <f>G172-D173</f>
        <v/>
      </c>
      <c r="H173" s="1624" t="n"/>
    </row>
    <row r="174" ht="135" customFormat="1" customHeight="1" s="1549">
      <c r="A174" s="1568" t="inlineStr">
        <is>
          <t>JT.#125</t>
        </is>
      </c>
      <c r="B174" s="1568" t="inlineStr">
        <is>
          <t>3 1/2" TSH</t>
        </is>
      </c>
      <c r="C174" s="1569" t="n">
        <v>31</v>
      </c>
      <c r="D174" s="1617">
        <f>C174</f>
        <v/>
      </c>
      <c r="E174" s="1571">
        <f>E173+D174</f>
        <v/>
      </c>
      <c r="F174" s="1571">
        <f>F173-D173</f>
        <v/>
      </c>
      <c r="G174" s="1572">
        <f>G173-D174</f>
        <v/>
      </c>
      <c r="H174" s="1625" t="n"/>
    </row>
    <row r="175" ht="333" customFormat="1" customHeight="1" s="1549">
      <c r="A175" s="1568" t="inlineStr">
        <is>
          <t>JT.#126</t>
        </is>
      </c>
      <c r="B175" s="1568" t="inlineStr">
        <is>
          <t>3 1/2" TSH</t>
        </is>
      </c>
      <c r="C175" s="1569" t="n">
        <v>31</v>
      </c>
      <c r="D175" s="1617">
        <f>C175</f>
        <v/>
      </c>
      <c r="E175" s="1571">
        <f>E174+D175</f>
        <v/>
      </c>
      <c r="F175" s="1571">
        <f>F174-D174</f>
        <v/>
      </c>
      <c r="G175" s="1572">
        <f>G174-D175</f>
        <v/>
      </c>
      <c r="H175" s="1626" t="inlineStr">
        <is>
          <t>TRAGET DEPTH 6875.00'
CASING COLAR  6863.71' -6906.28'</t>
        </is>
      </c>
      <c r="I175" s="1627" t="n"/>
      <c r="J175" s="1628" t="n"/>
    </row>
    <row r="176" ht="141.75" customFormat="1" customHeight="1" s="1549">
      <c r="A176" s="1568" t="inlineStr">
        <is>
          <t>JT.#127</t>
        </is>
      </c>
      <c r="B176" s="1568" t="inlineStr">
        <is>
          <t>3 1/2" TSH</t>
        </is>
      </c>
      <c r="C176" s="1569" t="n">
        <v>31</v>
      </c>
      <c r="D176" s="1619">
        <f>C176</f>
        <v/>
      </c>
      <c r="E176" s="1571">
        <f>E175+D176</f>
        <v/>
      </c>
      <c r="F176" s="1571">
        <f>F175-D175</f>
        <v/>
      </c>
      <c r="G176" s="1572">
        <f>G175-D176</f>
        <v/>
      </c>
      <c r="H176" s="1629" t="n"/>
      <c r="I176" s="1575" t="n"/>
    </row>
    <row r="177" ht="39.75" customFormat="1" customHeight="1" s="1549">
      <c r="A177" s="1568" t="inlineStr">
        <is>
          <t>JT.#128</t>
        </is>
      </c>
      <c r="B177" s="1568" t="inlineStr">
        <is>
          <t>3 1/2" TSH</t>
        </is>
      </c>
      <c r="C177" s="1569" t="n">
        <v>31</v>
      </c>
      <c r="D177" s="1570">
        <f>C177-0.301</f>
        <v/>
      </c>
      <c r="E177" s="1571">
        <f>E176+D177</f>
        <v/>
      </c>
      <c r="F177" s="1571">
        <f>F176-D176</f>
        <v/>
      </c>
      <c r="G177" s="1572">
        <f>G176-D177</f>
        <v/>
      </c>
      <c r="H177" s="1594" t="inlineStr">
        <is>
          <t xml:space="preserve">FILL UP STRING </t>
        </is>
      </c>
      <c r="K177" s="1578" t="n"/>
    </row>
    <row r="178" ht="39.75" customFormat="1" customHeight="1" s="1549">
      <c r="A178" s="1568" t="inlineStr">
        <is>
          <t>JT.#129</t>
        </is>
      </c>
      <c r="B178" s="1568" t="inlineStr">
        <is>
          <t>3 1/2" TSH</t>
        </is>
      </c>
      <c r="C178" s="1569" t="n">
        <v>31</v>
      </c>
      <c r="D178" s="1570">
        <f>C178-0.301</f>
        <v/>
      </c>
      <c r="E178" s="1571">
        <f>E177+D178</f>
        <v/>
      </c>
      <c r="F178" s="1571">
        <f>F177-D177</f>
        <v/>
      </c>
      <c r="G178" s="1572">
        <f>G177-D178</f>
        <v/>
      </c>
      <c r="H178" s="1576" t="n"/>
      <c r="K178" s="1578" t="n"/>
    </row>
    <row r="179" ht="39.75" customFormat="1" customHeight="1" s="1549">
      <c r="A179" s="1568" t="inlineStr">
        <is>
          <t>JT.#130</t>
        </is>
      </c>
      <c r="B179" s="1568" t="inlineStr">
        <is>
          <t>3 1/2" TSH</t>
        </is>
      </c>
      <c r="C179" s="1569" t="n">
        <v>31</v>
      </c>
      <c r="D179" s="1570">
        <f>C179-0.301</f>
        <v/>
      </c>
      <c r="E179" s="1571">
        <f>E178+D179</f>
        <v/>
      </c>
      <c r="F179" s="1571">
        <f>F178-D178</f>
        <v/>
      </c>
      <c r="G179" s="1572">
        <f>G178-D179</f>
        <v/>
      </c>
      <c r="H179" s="1576" t="n"/>
      <c r="K179" s="1578" t="n"/>
    </row>
    <row r="180" ht="39.75" customFormat="1" customHeight="1" s="1549">
      <c r="A180" s="1568" t="inlineStr">
        <is>
          <t>JT.#131</t>
        </is>
      </c>
      <c r="B180" s="1568" t="inlineStr">
        <is>
          <t>3 1/2" TSH</t>
        </is>
      </c>
      <c r="C180" s="1569" t="n">
        <v>31</v>
      </c>
      <c r="D180" s="1570">
        <f>C180-0.301</f>
        <v/>
      </c>
      <c r="E180" s="1571">
        <f>E179+D180</f>
        <v/>
      </c>
      <c r="F180" s="1571">
        <f>F179-D179</f>
        <v/>
      </c>
      <c r="G180" s="1572">
        <f>G179-D180</f>
        <v/>
      </c>
      <c r="H180" s="1576" t="n"/>
      <c r="K180" s="1578" t="n"/>
    </row>
    <row r="181" ht="39.75" customFormat="1" customHeight="1" s="1549">
      <c r="A181" s="1568" t="inlineStr">
        <is>
          <t>JT.#132</t>
        </is>
      </c>
      <c r="B181" s="1568" t="inlineStr">
        <is>
          <t>3 1/2" TSH</t>
        </is>
      </c>
      <c r="C181" s="1569" t="n">
        <v>31</v>
      </c>
      <c r="D181" s="1570">
        <f>C181-0.301</f>
        <v/>
      </c>
      <c r="E181" s="1571">
        <f>E180+D181</f>
        <v/>
      </c>
      <c r="F181" s="1571">
        <f>F180-D180</f>
        <v/>
      </c>
      <c r="G181" s="1572">
        <f>G180-D181</f>
        <v/>
      </c>
      <c r="H181" s="1576" t="n"/>
      <c r="K181" s="1578" t="n"/>
    </row>
    <row r="182" ht="39.75" customFormat="1" customHeight="1" s="1549">
      <c r="A182" s="1568" t="inlineStr">
        <is>
          <t>JT.#133</t>
        </is>
      </c>
      <c r="B182" s="1568" t="inlineStr">
        <is>
          <t>3 1/2" TSH</t>
        </is>
      </c>
      <c r="C182" s="1569" t="n">
        <v>31</v>
      </c>
      <c r="D182" s="1570">
        <f>C182-0.301</f>
        <v/>
      </c>
      <c r="E182" s="1571">
        <f>E181+D182</f>
        <v/>
      </c>
      <c r="F182" s="1571">
        <f>F181-D181</f>
        <v/>
      </c>
      <c r="G182" s="1572">
        <f>G181-D182</f>
        <v/>
      </c>
      <c r="H182" s="1576" t="n"/>
      <c r="K182" s="1578" t="n"/>
    </row>
    <row r="183" ht="39.75" customFormat="1" customHeight="1" s="1549">
      <c r="A183" s="1568" t="inlineStr">
        <is>
          <t>JT.#134</t>
        </is>
      </c>
      <c r="B183" s="1568" t="inlineStr">
        <is>
          <t>3 1/2" TSH</t>
        </is>
      </c>
      <c r="C183" s="1569" t="n">
        <v>31</v>
      </c>
      <c r="D183" s="1570">
        <f>C183-0.301</f>
        <v/>
      </c>
      <c r="E183" s="1571">
        <f>E182+D183</f>
        <v/>
      </c>
      <c r="F183" s="1571">
        <f>F182-D182</f>
        <v/>
      </c>
      <c r="G183" s="1572">
        <f>G182-D183</f>
        <v/>
      </c>
      <c r="H183" s="1576" t="n"/>
      <c r="K183" s="1578" t="n"/>
    </row>
    <row r="184" ht="39.75" customFormat="1" customHeight="1" s="1549">
      <c r="A184" s="1568" t="inlineStr">
        <is>
          <t>JT.#135</t>
        </is>
      </c>
      <c r="B184" s="1568" t="inlineStr">
        <is>
          <t>3 1/2" TSH</t>
        </is>
      </c>
      <c r="C184" s="1569" t="n">
        <v>31</v>
      </c>
      <c r="D184" s="1570">
        <f>C184-0.301</f>
        <v/>
      </c>
      <c r="E184" s="1571">
        <f>E183+D184</f>
        <v/>
      </c>
      <c r="F184" s="1571">
        <f>F183-D183</f>
        <v/>
      </c>
      <c r="G184" s="1572">
        <f>G183-D184</f>
        <v/>
      </c>
      <c r="H184" s="1576" t="n"/>
      <c r="K184" s="1578" t="n"/>
    </row>
    <row r="185" ht="39.75" customFormat="1" customHeight="1" s="1549">
      <c r="A185" s="1568" t="inlineStr">
        <is>
          <t>JT.#136</t>
        </is>
      </c>
      <c r="B185" s="1568" t="inlineStr">
        <is>
          <t>3 1/2" TSH</t>
        </is>
      </c>
      <c r="C185" s="1569" t="n">
        <v>31</v>
      </c>
      <c r="D185" s="1570">
        <f>C185-0.301</f>
        <v/>
      </c>
      <c r="E185" s="1571">
        <f>E184+D185</f>
        <v/>
      </c>
      <c r="F185" s="1571">
        <f>F184-D184</f>
        <v/>
      </c>
      <c r="G185" s="1572">
        <f>G184-D185</f>
        <v/>
      </c>
      <c r="H185" s="1593" t="n"/>
      <c r="K185" s="1578" t="n"/>
    </row>
    <row r="186" ht="39.75" customFormat="1" customHeight="1" s="1549">
      <c r="A186" s="1568" t="inlineStr">
        <is>
          <t>JT.#137</t>
        </is>
      </c>
      <c r="B186" s="1568" t="inlineStr">
        <is>
          <t>3 1/2" TSH</t>
        </is>
      </c>
      <c r="C186" s="1569" t="n">
        <v>31</v>
      </c>
      <c r="D186" s="1570">
        <f>C186-0.301</f>
        <v/>
      </c>
      <c r="E186" s="1571">
        <f>E185+D186</f>
        <v/>
      </c>
      <c r="F186" s="1571">
        <f>F185-D185</f>
        <v/>
      </c>
      <c r="G186" s="1572">
        <f>G185-D186</f>
        <v/>
      </c>
      <c r="H186" s="1576" t="n"/>
      <c r="K186" s="1578" t="n"/>
    </row>
    <row r="187" ht="39.75" customFormat="1" customHeight="1" s="1549">
      <c r="A187" s="1630" t="inlineStr">
        <is>
          <t>F</t>
        </is>
      </c>
      <c r="B187" s="1631" t="inlineStr">
        <is>
          <t>UPPER CONN. 3-1/2" VAM TOP BOX 9.2 PPF SN 28 110 KSI
DESCRIPTION: 5 FEET XOVER
SAP: 130005011340
SUPPLIER: TENARIS
UPPER CONN. 3-1/2" TSH BLUE PIN 9.2 PPF SN 28 110 KSI</t>
        </is>
      </c>
      <c r="C187" s="1632" t="n">
        <v>5.02</v>
      </c>
      <c r="D187" s="1570">
        <f>C187-0.301</f>
        <v/>
      </c>
      <c r="E187" s="1571">
        <f>E186+D187</f>
        <v/>
      </c>
      <c r="F187" s="1571">
        <f>F186-D186</f>
        <v/>
      </c>
      <c r="G187" s="1572">
        <f>G186-D187</f>
        <v/>
      </c>
      <c r="H187" s="1594" t="inlineStr">
        <is>
          <t xml:space="preserve">FILL UP STRING </t>
        </is>
      </c>
      <c r="K187" s="1578" t="n"/>
    </row>
    <row r="188" ht="39.75" customFormat="1" customHeight="1" s="1549">
      <c r="A188" s="1582" t="n"/>
      <c r="B188" s="1631" t="inlineStr">
        <is>
          <t>UPPER CONN. 3-1/2" VAM TOP 9.2#PPF INCOLOY 925 BOX
DESCRIPTION: FLOW COUPLING
PN: 2996124
S/N: 130777-04-001
SAP: 130010035671
S UPPLIER: WEATHERFORD
LOWER CONN. 3-1/2" VAM TOP 9.2#PPF</t>
        </is>
      </c>
      <c r="C188" s="1632" t="n">
        <v>5.75</v>
      </c>
      <c r="D188" s="1570">
        <f>C188-0.301</f>
        <v/>
      </c>
      <c r="E188" s="1571">
        <f>E187+D188</f>
        <v/>
      </c>
      <c r="F188" s="1571">
        <f>F187-D187</f>
        <v/>
      </c>
      <c r="G188" s="1572">
        <f>G187-D188</f>
        <v/>
      </c>
      <c r="H188" s="1576" t="n"/>
      <c r="K188" s="1578" t="n"/>
    </row>
    <row r="189" ht="39.75" customFormat="1" customHeight="1" s="1549">
      <c r="A189" s="1582" t="n"/>
      <c r="B189" s="1631" t="inlineStr">
        <is>
          <t>UPPER CONN. 3-1/2" VAM TOP 9.2#PPF
INCOLOY 925
BOX
DESCRIPTION: WEATHERFORD ASSY, TRSV,3.5WZPE-10
2.813WOR,2kSD,9.2# VAM TOP, WN302
PN: 2980845
S/N: 12777594-01
SAP: 130010038007
SUPPLIER: WEATHERFORD
LOWER CONN. 3-1/2" VAM TOP 9.2#PPF</t>
        </is>
      </c>
      <c r="C189" s="1632" t="n">
        <v>4.44</v>
      </c>
      <c r="D189" s="1570">
        <f>C189-0.301</f>
        <v/>
      </c>
      <c r="E189" s="1571">
        <f>E188+D189</f>
        <v/>
      </c>
      <c r="F189" s="1571">
        <f>F188-D188</f>
        <v/>
      </c>
      <c r="G189" s="1572">
        <f>G188-D189</f>
        <v/>
      </c>
      <c r="H189" s="1576" t="n"/>
      <c r="K189" s="1578" t="n"/>
    </row>
    <row r="190" ht="39.75" customFormat="1" customHeight="1" s="1549">
      <c r="A190" s="1582" t="n"/>
      <c r="B190" s="1631" t="inlineStr">
        <is>
          <t>UPPER CONN. 3-1/2" VAM TOP 9.2#PPF
INCOLOY 925
BOX
DESCRIPTION: FLOW COUPLING
P/N: 2996124
S/N: 130777-02-002
SAP: 130010035671
SUPPLIER: WEATHERFORD
LOWER CONN. 3-1/2" VAM TOP 9.2#PPF</t>
        </is>
      </c>
      <c r="C190" s="1632" t="n">
        <v>5.75</v>
      </c>
      <c r="D190" s="1570">
        <f>C190-0.301</f>
        <v/>
      </c>
      <c r="E190" s="1571">
        <f>E189+D190</f>
        <v/>
      </c>
      <c r="F190" s="1571">
        <f>F189-D189</f>
        <v/>
      </c>
      <c r="G190" s="1572">
        <f>G189-D190</f>
        <v/>
      </c>
      <c r="H190" s="1576" t="n"/>
      <c r="K190" s="1578" t="n"/>
    </row>
    <row r="191" ht="39.75" customFormat="1" customHeight="1" s="1549">
      <c r="A191" s="1148" t="n"/>
      <c r="B191" s="1631" t="inlineStr">
        <is>
          <t>UPPER CONN. 3-1/2" TSH BLUE BOX 9.2 PPF SN 28 110 KSI
DESCRIPTION: 10 FEET XOVER
SAP: 130005012487
SUPPLIER: TENARIS
LOWER CONN. 3-1/2" VAM TOP PIN 9.2 PPF SN 28 110 KSI</t>
        </is>
      </c>
      <c r="C191" s="1632" t="n">
        <v>9.93</v>
      </c>
      <c r="D191" s="1570">
        <f>C191-0.301</f>
        <v/>
      </c>
      <c r="E191" s="1571">
        <f>E190+D191</f>
        <v/>
      </c>
      <c r="F191" s="1571">
        <f>F190-D190</f>
        <v/>
      </c>
      <c r="G191" s="1572">
        <f>G190-D191</f>
        <v/>
      </c>
      <c r="H191" s="1576" t="n"/>
      <c r="K191" s="1578" t="n"/>
    </row>
    <row r="192" ht="39.75" customFormat="1" customHeight="1" s="1549">
      <c r="A192" s="1568" t="inlineStr">
        <is>
          <t>JT.#138</t>
        </is>
      </c>
      <c r="B192" s="1568" t="inlineStr">
        <is>
          <t>3 1/2" TSH</t>
        </is>
      </c>
      <c r="C192" s="1569" t="n">
        <v>31</v>
      </c>
      <c r="D192" s="1570">
        <f>C192-0.301</f>
        <v/>
      </c>
      <c r="E192" s="1571">
        <f>E191+D192</f>
        <v/>
      </c>
      <c r="F192" s="1571">
        <f>F191-D191</f>
        <v/>
      </c>
      <c r="G192" s="1572">
        <f>G191-D192</f>
        <v/>
      </c>
      <c r="H192" s="1576" t="n"/>
      <c r="K192" s="1578" t="n"/>
    </row>
    <row r="193" ht="39.75" customFormat="1" customHeight="1" s="1549">
      <c r="A193" s="1568" t="inlineStr">
        <is>
          <t>JT.#139</t>
        </is>
      </c>
      <c r="B193" s="1568" t="inlineStr">
        <is>
          <t>3 1/2" TSH</t>
        </is>
      </c>
      <c r="C193" s="1569" t="n">
        <v>31</v>
      </c>
      <c r="D193" s="1570">
        <f>C193-0.301</f>
        <v/>
      </c>
      <c r="E193" s="1571">
        <f>E192+D193</f>
        <v/>
      </c>
      <c r="F193" s="1571">
        <f>F192-D192</f>
        <v/>
      </c>
      <c r="G193" s="1572">
        <f>G192-D193</f>
        <v/>
      </c>
      <c r="H193" s="1576" t="n"/>
      <c r="K193" s="1578" t="n"/>
    </row>
    <row r="194" ht="39.75" customFormat="1" customHeight="1" s="1549">
      <c r="A194" s="1568" t="inlineStr">
        <is>
          <t>JT.#140</t>
        </is>
      </c>
      <c r="B194" s="1568" t="inlineStr">
        <is>
          <t>3 1/2" TSH</t>
        </is>
      </c>
      <c r="C194" s="1569" t="n">
        <v>31</v>
      </c>
      <c r="D194" s="1570">
        <f>C194-0.301</f>
        <v/>
      </c>
      <c r="E194" s="1571">
        <f>E193+D194</f>
        <v/>
      </c>
      <c r="F194" s="1571">
        <f>F193-D193</f>
        <v/>
      </c>
      <c r="G194" s="1572">
        <f>G193-D194</f>
        <v/>
      </c>
      <c r="H194" s="1576" t="n"/>
      <c r="K194" s="1578" t="n"/>
    </row>
    <row r="195" ht="39.75" customFormat="1" customHeight="1" s="1549">
      <c r="A195" s="1568" t="inlineStr">
        <is>
          <t>JT.#141</t>
        </is>
      </c>
      <c r="B195" s="1568" t="inlineStr">
        <is>
          <t>3 1/2" TSH</t>
        </is>
      </c>
      <c r="C195" s="1569" t="n">
        <v>31</v>
      </c>
      <c r="D195" s="1570">
        <f>C195-0.301</f>
        <v/>
      </c>
      <c r="E195" s="1571">
        <f>E194+D195</f>
        <v/>
      </c>
      <c r="F195" s="1571">
        <f>F194-D194</f>
        <v/>
      </c>
      <c r="G195" s="1572">
        <f>G194-D195</f>
        <v/>
      </c>
      <c r="H195" s="1593" t="n"/>
      <c r="K195" s="1578" t="n"/>
    </row>
    <row r="196" ht="39.75" customFormat="1" customHeight="1" s="1549">
      <c r="A196" s="1568" t="inlineStr">
        <is>
          <t>JT.#142</t>
        </is>
      </c>
      <c r="B196" s="1568" t="inlineStr">
        <is>
          <t>3 1/2" TSH</t>
        </is>
      </c>
      <c r="C196" s="1569" t="n">
        <v>31</v>
      </c>
      <c r="D196" s="1570">
        <f>C196-0.301</f>
        <v/>
      </c>
      <c r="E196" s="1571">
        <f>E195+D196</f>
        <v/>
      </c>
      <c r="F196" s="1571">
        <f>F195-D195</f>
        <v/>
      </c>
      <c r="G196" s="1572">
        <f>G195-D196</f>
        <v/>
      </c>
      <c r="H196" s="1576" t="n"/>
      <c r="K196" s="1578" t="n"/>
    </row>
    <row r="197" ht="39.75" customFormat="1" customHeight="1" s="1549">
      <c r="A197" s="1633" t="inlineStr">
        <is>
          <t>F - 1</t>
        </is>
      </c>
      <c r="B197" s="1634" t="inlineStr">
        <is>
          <t>UPPER CONN. 3-1/2" TENARIS BLUE 9.2#PPF SN 28 110 KSI
DESCRIPTION: 5 FEET PUP JOINT
SAP: 130005011338
SUPPLIER:TENARIS
LOWER CONN. 3-1/2" TENARIS BLUE 9.2#PPF SN 28 110 KSI</t>
        </is>
      </c>
      <c r="C197" s="1635" t="n">
        <v>5.08</v>
      </c>
      <c r="D197" s="1570">
        <f>C197-0.301</f>
        <v/>
      </c>
      <c r="E197" s="1571">
        <f>E196+D197</f>
        <v/>
      </c>
      <c r="F197" s="1571">
        <f>F196-D196</f>
        <v/>
      </c>
      <c r="G197" s="1572">
        <f>G196-D197</f>
        <v/>
      </c>
      <c r="H197" s="1594" t="inlineStr">
        <is>
          <t xml:space="preserve">FILL UP STRING </t>
        </is>
      </c>
      <c r="K197" s="1578" t="n"/>
    </row>
    <row r="198" ht="39.75" customFormat="1" customHeight="1" s="1549">
      <c r="A198" s="1582" t="n"/>
      <c r="B198" s="1634" t="inlineStr">
        <is>
          <t>UPPER CONN. 4-1/2" VAM TOP 12.6 #PPF SN 28 120 KSI BOX
DESCRIPTION : X OVER
4 1/2 PIN TOP X 3 1/2 PIN BTM
SAP: 130005012767 SUPPLIER: TENARIS
LOWER CONN. 3-1/2" TENARIS BLUE 9.2#PPF SN 28 120 KSI PIN</t>
        </is>
      </c>
      <c r="C198" s="1635" t="n">
        <v>2.48</v>
      </c>
      <c r="D198" s="1570">
        <f>C198-0.301</f>
        <v/>
      </c>
      <c r="E198" s="1571">
        <f>E197+D198</f>
        <v/>
      </c>
      <c r="F198" s="1571">
        <f>F197-D197</f>
        <v/>
      </c>
      <c r="G198" s="1572">
        <f>G197-D198</f>
        <v/>
      </c>
      <c r="H198" s="1576" t="n"/>
      <c r="K198" s="1578" t="n"/>
    </row>
    <row r="199" ht="39.75" customFormat="1" customHeight="1" s="1549">
      <c r="A199" s="1582" t="n"/>
      <c r="B199" s="1634"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35" t="n">
        <v>1.9</v>
      </c>
      <c r="D199" s="1570">
        <f>C199-0.301</f>
        <v/>
      </c>
      <c r="E199" s="1571">
        <f>E198+D199</f>
        <v/>
      </c>
      <c r="F199" s="1571">
        <f>F198-D198</f>
        <v/>
      </c>
      <c r="G199" s="1572">
        <f>G198-D199</f>
        <v/>
      </c>
      <c r="H199" s="1576" t="n"/>
      <c r="K199" s="1578" t="n"/>
    </row>
    <row r="200" ht="39.75" customFormat="1" customHeight="1" s="1549">
      <c r="A200" s="1148" t="n"/>
      <c r="B200" s="1634" t="inlineStr">
        <is>
          <t>UPPER CONN. 4-1/2" VAMTOP 12.6# L80
Box
DESCRIPTION: 30' LANDING JOINT
SAP: 130005009160
SUPPLIER:VAM
LOWER CONN. 4-1/2" VAMTOP 12.6# L80 PIN</t>
        </is>
      </c>
      <c r="C200" s="1635" t="n">
        <v>24.82</v>
      </c>
      <c r="D200" s="1570">
        <f>C200-0.301</f>
        <v/>
      </c>
      <c r="E200" s="1571">
        <f>E199+D200</f>
        <v/>
      </c>
      <c r="F200" s="1571">
        <f>F199-D199</f>
        <v/>
      </c>
      <c r="G200" s="1572">
        <f>G199-D200</f>
        <v/>
      </c>
      <c r="H200" s="1576" t="n"/>
      <c r="K200" s="1578" t="n"/>
    </row>
    <row r="201" ht="39.75" customFormat="1" customHeight="1" s="1549">
      <c r="A201" s="1568" t="n"/>
      <c r="B201" s="1568" t="n"/>
      <c r="C201" s="1568" t="n"/>
      <c r="D201" s="1570">
        <f>C201-0.301</f>
        <v/>
      </c>
      <c r="E201" s="1571">
        <f>E200+D201</f>
        <v/>
      </c>
      <c r="F201" s="1571">
        <f>F200-D200</f>
        <v/>
      </c>
      <c r="G201" s="1572">
        <f>G200-D201</f>
        <v/>
      </c>
      <c r="H201" s="1576" t="n"/>
      <c r="K201" s="1578" t="n"/>
    </row>
    <row r="202" ht="39.75" customFormat="1" customHeight="1" s="1549">
      <c r="A202" s="1636" t="inlineStr">
        <is>
          <t>A</t>
        </is>
      </c>
      <c r="B202" s="1637" t="inlineStr">
        <is>
          <t>UPPER CONN. 3-1/2" VAM TOP 9.2#PPF BOX VM 28 110 KSI
DESCRIPTION: WIRELINE ENTRY GUIDE
SN: 16339547-10-008
PN 2996481
SAP: 130010036277
SUPPLIER: WEATHERFORD</t>
        </is>
      </c>
      <c r="C202" s="1638" t="n">
        <v>0.6</v>
      </c>
      <c r="D202" s="1570">
        <f>C202-0.301</f>
        <v/>
      </c>
      <c r="E202" s="1571">
        <f>E201+D202</f>
        <v/>
      </c>
      <c r="F202" s="1571">
        <f>F201-D201</f>
        <v/>
      </c>
      <c r="G202" s="1572">
        <f>G201-D202</f>
        <v/>
      </c>
      <c r="H202" s="1576" t="n"/>
      <c r="K202" s="1578" t="n"/>
    </row>
    <row r="203" ht="39.75" customFormat="1" customHeight="1" s="1549">
      <c r="A203" s="1148" t="n"/>
      <c r="B203" s="1637" t="inlineStr">
        <is>
          <t>UPPER CONN. 3-1/2" TSH BLUE BOX 9.2 PPF SN 28 110 KSI
DESCRIPTION: 5 FEET XOVER
SAP: 130005011340
SUPPLIER: TENARIS
LOWER CONN. 3-1/2" VAM TOP PIN 9.2 PPF SN 28 110 KSI</t>
        </is>
      </c>
      <c r="C203" s="1638" t="n">
        <v>4.96</v>
      </c>
      <c r="D203" s="1570">
        <f>C203-0.301</f>
        <v/>
      </c>
      <c r="E203" s="1571">
        <f>E202+D203</f>
        <v/>
      </c>
      <c r="F203" s="1571">
        <f>F202-D202</f>
        <v/>
      </c>
      <c r="G203" s="1572">
        <f>G202-D203</f>
        <v/>
      </c>
      <c r="H203" s="1576" t="n"/>
      <c r="K203" s="1578" t="n"/>
    </row>
    <row r="204" ht="39.75" customFormat="1" customHeight="1" s="1549">
      <c r="A204" s="1568" t="inlineStr">
        <is>
          <t>JT.#1</t>
        </is>
      </c>
      <c r="B204" s="1568" t="inlineStr">
        <is>
          <t>3-1/2" TUBING 9.2 LB/FT ALLOY 28 TSH BL</t>
        </is>
      </c>
      <c r="C204" s="1569" t="n">
        <v>31</v>
      </c>
      <c r="D204" s="1570">
        <f>C204-0.301</f>
        <v/>
      </c>
      <c r="E204" s="1571">
        <f>E203+D204</f>
        <v/>
      </c>
      <c r="F204" s="1571">
        <f>F203-D203</f>
        <v/>
      </c>
      <c r="G204" s="1572">
        <f>G203-D204</f>
        <v/>
      </c>
      <c r="H204" s="1576" t="n"/>
      <c r="K204" s="1578" t="n"/>
    </row>
    <row r="205" ht="39.75" customFormat="1" customHeight="1" s="1549">
      <c r="A205" s="1568" t="inlineStr">
        <is>
          <t>JT.#2</t>
        </is>
      </c>
      <c r="B205" s="1568" t="inlineStr">
        <is>
          <t>3-1/2" TUBING 9.2 LB/FT ALLOY 28 TSH BL</t>
        </is>
      </c>
      <c r="C205" s="1569" t="n">
        <v>31</v>
      </c>
      <c r="D205" s="1570">
        <f>C205-0.301</f>
        <v/>
      </c>
      <c r="E205" s="1571">
        <f>E204+D205</f>
        <v/>
      </c>
      <c r="F205" s="1571">
        <f>F204-D204</f>
        <v/>
      </c>
      <c r="G205" s="1572">
        <f>G204-D205</f>
        <v/>
      </c>
      <c r="H205" s="1593" t="n"/>
      <c r="K205" s="1578" t="n"/>
    </row>
    <row r="206" ht="39.75" customFormat="1" customHeight="1" s="1549">
      <c r="A206" s="1568" t="inlineStr">
        <is>
          <t>JT.#3</t>
        </is>
      </c>
      <c r="B206" s="1568" t="inlineStr">
        <is>
          <t>3-1/2" TUBING 9.2 LB/FT ALLOY 28 TSH BL</t>
        </is>
      </c>
      <c r="C206" s="1569" t="n">
        <v>31</v>
      </c>
      <c r="D206" s="1570">
        <f>C206-0.301</f>
        <v/>
      </c>
      <c r="E206" s="1571">
        <f>E205+D206</f>
        <v/>
      </c>
      <c r="F206" s="1571">
        <f>F205-D205</f>
        <v/>
      </c>
      <c r="G206" s="1572">
        <f>G205-D206</f>
        <v/>
      </c>
      <c r="H206" s="1594" t="inlineStr">
        <is>
          <t xml:space="preserve">FILL UP STRING </t>
        </is>
      </c>
      <c r="K206" s="1578" t="n"/>
    </row>
    <row r="207" ht="39.75" customFormat="1" customHeight="1" s="1549">
      <c r="A207" s="1568" t="inlineStr">
        <is>
          <t>JT.#4</t>
        </is>
      </c>
      <c r="B207" s="1568" t="inlineStr">
        <is>
          <t>3-1/2" TUBING 9.2 LB/FT ALLOY 28 TSH BL</t>
        </is>
      </c>
      <c r="C207" s="1569" t="n">
        <v>31</v>
      </c>
      <c r="D207" s="1570">
        <f>C207-0.301</f>
        <v/>
      </c>
      <c r="E207" s="1571">
        <f>E206+D207</f>
        <v/>
      </c>
      <c r="F207" s="1571">
        <f>F206-D206</f>
        <v/>
      </c>
      <c r="G207" s="1572">
        <f>G206-D207</f>
        <v/>
      </c>
      <c r="H207" s="1576" t="n"/>
      <c r="K207" s="1578" t="n"/>
    </row>
    <row r="208" ht="39.75" customFormat="1" customHeight="1" s="1549">
      <c r="A208" s="1568" t="inlineStr">
        <is>
          <t>JT.#5</t>
        </is>
      </c>
      <c r="B208" s="1568" t="inlineStr">
        <is>
          <t>3-1/2" TUBING 9.2 LB/FT ALLOY 28 TSH BL</t>
        </is>
      </c>
      <c r="C208" s="1569" t="n">
        <v>31</v>
      </c>
      <c r="D208" s="1570">
        <f>C208-0.301</f>
        <v/>
      </c>
      <c r="E208" s="1571">
        <f>E207+D208</f>
        <v/>
      </c>
      <c r="F208" s="1571">
        <f>F207-D207</f>
        <v/>
      </c>
      <c r="G208" s="1572">
        <f>G207-D208</f>
        <v/>
      </c>
      <c r="H208" s="1576" t="n"/>
      <c r="K208" s="1578" t="n"/>
    </row>
    <row r="209" ht="39.75" customFormat="1" customHeight="1" s="1549">
      <c r="A209" s="1568" t="inlineStr">
        <is>
          <t>JT.#6</t>
        </is>
      </c>
      <c r="B209" s="1568" t="inlineStr">
        <is>
          <t>3-1/2" TUBING 9.2 LB/FT ALLOY 28 TSH BL</t>
        </is>
      </c>
      <c r="C209" s="1569" t="n">
        <v>31</v>
      </c>
      <c r="D209" s="1570">
        <f>C209-0.301</f>
        <v/>
      </c>
      <c r="E209" s="1571">
        <f>E208+D209</f>
        <v/>
      </c>
      <c r="F209" s="1571">
        <f>F208-D208</f>
        <v/>
      </c>
      <c r="G209" s="1572">
        <f>G208-D209</f>
        <v/>
      </c>
      <c r="H209" s="1576" t="n"/>
      <c r="K209" s="1578" t="n"/>
    </row>
    <row r="210" ht="39.75" customFormat="1" customHeight="1" s="1549">
      <c r="A210" s="1568" t="inlineStr">
        <is>
          <t>JT.#7</t>
        </is>
      </c>
      <c r="B210" s="1568" t="inlineStr">
        <is>
          <t>3-1/2" TUBING 9.2 LB/FT ALLOY 28 TSH BL</t>
        </is>
      </c>
      <c r="C210" s="1569" t="n">
        <v>31</v>
      </c>
      <c r="D210" s="1570">
        <f>C210-0.301</f>
        <v/>
      </c>
      <c r="E210" s="1571">
        <f>E209+D210</f>
        <v/>
      </c>
      <c r="F210" s="1571">
        <f>F209-D209</f>
        <v/>
      </c>
      <c r="G210" s="1572">
        <f>G209-D210</f>
        <v/>
      </c>
      <c r="H210" s="1639" t="n"/>
      <c r="K210" s="1578" t="n"/>
    </row>
    <row r="211" ht="39.75" customFormat="1" customHeight="1" s="1549">
      <c r="A211" s="1568" t="inlineStr">
        <is>
          <t>JT.#8</t>
        </is>
      </c>
      <c r="B211" s="1568" t="inlineStr">
        <is>
          <t>3-1/2" TUBING 9.2 LB/FT ALLOY 28 TSH BL</t>
        </is>
      </c>
      <c r="C211" s="1569" t="n">
        <v>31</v>
      </c>
      <c r="D211" s="1570">
        <f>C211-0.301</f>
        <v/>
      </c>
      <c r="E211" s="1571">
        <f>E210+D211</f>
        <v/>
      </c>
      <c r="F211" s="1571">
        <f>F210-D210</f>
        <v/>
      </c>
      <c r="G211" s="1572">
        <f>G210-D211</f>
        <v/>
      </c>
      <c r="H211" s="1639" t="n"/>
      <c r="K211" s="1578" t="n"/>
    </row>
    <row r="212" ht="39.75" customFormat="1" customHeight="1" s="1549">
      <c r="A212" s="1568" t="inlineStr">
        <is>
          <t>JT.#9</t>
        </is>
      </c>
      <c r="B212" s="1568" t="inlineStr">
        <is>
          <t>3-1/2" TUBING 9.2 LB/FT ALLOY 28 TSH BL</t>
        </is>
      </c>
      <c r="C212" s="1569" t="n">
        <v>31</v>
      </c>
      <c r="D212" s="1570">
        <f>C212-0.301</f>
        <v/>
      </c>
      <c r="E212" s="1571">
        <f>E211+D212</f>
        <v/>
      </c>
      <c r="F212" s="1571">
        <f>F211-D211</f>
        <v/>
      </c>
      <c r="G212" s="1572">
        <f>G211-D212</f>
        <v/>
      </c>
      <c r="H212" s="1639" t="n"/>
      <c r="K212" s="1578" t="n"/>
    </row>
    <row r="213" ht="39.75" customFormat="1" customHeight="1" s="1549">
      <c r="A213" s="1568" t="inlineStr">
        <is>
          <t>JT.#10</t>
        </is>
      </c>
      <c r="B213" s="1568" t="inlineStr">
        <is>
          <t>3-1/2" TUBING 9.2 LB/FT ALLOY 28 TSH BL</t>
        </is>
      </c>
      <c r="C213" s="1569" t="n">
        <v>31</v>
      </c>
      <c r="D213" s="1570">
        <f>C213-0.301</f>
        <v/>
      </c>
      <c r="E213" s="1571">
        <f>E212+D213</f>
        <v/>
      </c>
      <c r="F213" s="1571">
        <f>F212-D212</f>
        <v/>
      </c>
      <c r="G213" s="1572">
        <f>G212-D213</f>
        <v/>
      </c>
      <c r="H213" s="1639" t="n"/>
      <c r="K213" s="1578" t="n"/>
    </row>
    <row r="214" ht="39.75" customFormat="1" customHeight="1" s="1549">
      <c r="A214" s="1568" t="inlineStr">
        <is>
          <t>JT.#11</t>
        </is>
      </c>
      <c r="B214" s="1568" t="inlineStr">
        <is>
          <t>3-1/2" TUBING 9.2 LB/FT ALLOY 28 TSH BL</t>
        </is>
      </c>
      <c r="C214" s="1569" t="n">
        <v>31</v>
      </c>
      <c r="D214" s="1570">
        <f>C214-0.301</f>
        <v/>
      </c>
      <c r="E214" s="1571">
        <f>E213+D214</f>
        <v/>
      </c>
      <c r="F214" s="1571">
        <f>F213-D213</f>
        <v/>
      </c>
      <c r="G214" s="1572">
        <f>G213-D214</f>
        <v/>
      </c>
      <c r="H214" s="1639" t="n"/>
      <c r="K214" s="1578" t="n"/>
    </row>
    <row r="215" ht="39.75" customFormat="1" customHeight="1" s="1549">
      <c r="A215" s="1568" t="inlineStr">
        <is>
          <t>JT.#12</t>
        </is>
      </c>
      <c r="B215" s="1568" t="inlineStr">
        <is>
          <t>3-1/2" TUBING 9.2 LB/FT ALLOY 28 TSH BL</t>
        </is>
      </c>
      <c r="C215" s="1569" t="n">
        <v>31</v>
      </c>
      <c r="D215" s="1570">
        <f>C215-0.301</f>
        <v/>
      </c>
      <c r="E215" s="1571">
        <f>E214+D215</f>
        <v/>
      </c>
      <c r="F215" s="1571">
        <f>F214-D214</f>
        <v/>
      </c>
      <c r="G215" s="1572">
        <f>G214-D215</f>
        <v/>
      </c>
      <c r="H215" s="1593" t="n"/>
      <c r="K215" s="1578" t="n"/>
    </row>
    <row r="216" ht="39.75" customFormat="1" customHeight="1" s="1549">
      <c r="A216" s="1568" t="inlineStr">
        <is>
          <t>JT.#13</t>
        </is>
      </c>
      <c r="B216" s="1568" t="inlineStr">
        <is>
          <t>3-1/2" TUBING 9.2 LB/FT ALLOY 28 TSH BL</t>
        </is>
      </c>
      <c r="C216" s="1569" t="n">
        <v>31</v>
      </c>
      <c r="D216" s="1570">
        <f>C216-0.301</f>
        <v/>
      </c>
      <c r="E216" s="1571">
        <f>E215+D216</f>
        <v/>
      </c>
      <c r="F216" s="1571">
        <f>F215-D215</f>
        <v/>
      </c>
      <c r="G216" s="1572">
        <f>G215-D216</f>
        <v/>
      </c>
      <c r="H216" s="1639" t="n"/>
      <c r="K216" s="1578" t="n"/>
    </row>
    <row r="217" ht="39.75" customFormat="1" customHeight="1" s="1549">
      <c r="A217" s="1568" t="inlineStr">
        <is>
          <t>JT.#14</t>
        </is>
      </c>
      <c r="B217" s="1568" t="inlineStr">
        <is>
          <t>3-1/2" TUBING 9.2 LB/FT ALLOY 28 TSH BL</t>
        </is>
      </c>
      <c r="C217" s="1569" t="n">
        <v>31</v>
      </c>
      <c r="D217" s="1570">
        <f>C217-0.301</f>
        <v/>
      </c>
      <c r="E217" s="1571">
        <f>E216+D217</f>
        <v/>
      </c>
      <c r="F217" s="1571">
        <f>F216-D216</f>
        <v/>
      </c>
      <c r="G217" s="1572">
        <f>G216-D217</f>
        <v/>
      </c>
      <c r="H217" s="1594" t="inlineStr">
        <is>
          <t xml:space="preserve">FILL UP STRING </t>
        </is>
      </c>
      <c r="K217" s="1578" t="n"/>
    </row>
    <row r="218" ht="39.75" customFormat="1" customHeight="1" s="1549">
      <c r="A218" s="1568" t="inlineStr">
        <is>
          <t>JT.#15</t>
        </is>
      </c>
      <c r="B218" s="1568" t="inlineStr">
        <is>
          <t>3-1/2" TUBING 9.2 LB/FT ALLOY 28 TSH BL</t>
        </is>
      </c>
      <c r="C218" s="1569" t="n">
        <v>31</v>
      </c>
      <c r="D218" s="1570">
        <f>C218-0.301</f>
        <v/>
      </c>
      <c r="E218" s="1571">
        <f>E217+D218</f>
        <v/>
      </c>
      <c r="F218" s="1571">
        <f>F217-D217</f>
        <v/>
      </c>
      <c r="G218" s="1572">
        <f>G217-D218</f>
        <v/>
      </c>
      <c r="H218" s="1640" t="n"/>
      <c r="K218" s="1578" t="n"/>
    </row>
    <row r="219" ht="39.75" customFormat="1" customHeight="1" s="1549">
      <c r="A219" s="1568" t="inlineStr">
        <is>
          <t>JT.#16</t>
        </is>
      </c>
      <c r="B219" s="1568" t="inlineStr">
        <is>
          <t>3-1/2" TUBING 9.2 LB/FT ALLOY 28 TSH BL</t>
        </is>
      </c>
      <c r="C219" s="1569" t="n">
        <v>31</v>
      </c>
      <c r="D219" s="1570">
        <f>C219-0.301</f>
        <v/>
      </c>
      <c r="E219" s="1571">
        <f>E218+D219</f>
        <v/>
      </c>
      <c r="F219" s="1571">
        <f>F218-D218</f>
        <v/>
      </c>
      <c r="G219" s="1572">
        <f>G218-D219</f>
        <v/>
      </c>
      <c r="H219" s="1641" t="n"/>
      <c r="K219" s="1578" t="n"/>
    </row>
    <row r="220" ht="39.75" customFormat="1" customHeight="1" s="1549">
      <c r="A220" s="1568" t="inlineStr">
        <is>
          <t>JT.#17</t>
        </is>
      </c>
      <c r="B220" s="1568" t="inlineStr">
        <is>
          <t>3-1/2" TUBING 9.2 LB/FT ALLOY 28 TSH BL</t>
        </is>
      </c>
      <c r="C220" s="1569" t="n">
        <v>31</v>
      </c>
      <c r="D220" s="1570">
        <f>C220-0.301</f>
        <v/>
      </c>
      <c r="E220" s="1571">
        <f>E219+D220</f>
        <v/>
      </c>
      <c r="F220" s="1571">
        <f>F219-D219</f>
        <v/>
      </c>
      <c r="G220" s="1572">
        <f>G219-D220</f>
        <v/>
      </c>
      <c r="H220" s="1642" t="n"/>
      <c r="K220" s="1578" t="n"/>
    </row>
    <row r="221" ht="39.75" customFormat="1" customHeight="1" s="1549">
      <c r="A221" s="1568" t="inlineStr">
        <is>
          <t>JT.#18</t>
        </is>
      </c>
      <c r="B221" s="1568" t="inlineStr">
        <is>
          <t>3-1/2" TUBING 9.2 LB/FT ALLOY 28 TSH BL</t>
        </is>
      </c>
      <c r="C221" s="1569" t="n">
        <v>31</v>
      </c>
      <c r="D221" s="1570">
        <f>C221-0.301</f>
        <v/>
      </c>
      <c r="E221" s="1571">
        <f>E220+D221</f>
        <v/>
      </c>
      <c r="F221" s="1571">
        <f>F220-D220</f>
        <v/>
      </c>
      <c r="G221" s="1572">
        <f>G220-D221</f>
        <v/>
      </c>
      <c r="H221" s="1643" t="n"/>
      <c r="K221" s="1578" t="n"/>
    </row>
    <row r="222" ht="171" customFormat="1" customHeight="1" s="1549">
      <c r="A222" s="1568" t="inlineStr">
        <is>
          <t>JT.#19</t>
        </is>
      </c>
      <c r="B222" s="1568" t="inlineStr">
        <is>
          <t>3-1/2" TUBING 9.2 LB/FT ALLOY 28 TSH BL</t>
        </is>
      </c>
      <c r="C222" s="1569" t="n">
        <v>31</v>
      </c>
      <c r="D222" s="1615">
        <f>C222-0.301</f>
        <v/>
      </c>
      <c r="E222" s="1571">
        <f>E221+D222</f>
        <v/>
      </c>
      <c r="F222" s="1571">
        <f>F221-D221</f>
        <v/>
      </c>
      <c r="G222" s="1572">
        <f>G221-D222</f>
        <v/>
      </c>
      <c r="H222" s="1644" t="n"/>
    </row>
    <row r="223" ht="171" customFormat="1" customHeight="1" s="1549">
      <c r="A223" s="1568" t="inlineStr">
        <is>
          <t>JT.#20</t>
        </is>
      </c>
      <c r="B223" s="1568" t="inlineStr">
        <is>
          <t>3-1/2" TUBING 9.2 LB/FT ALLOY 28 TSH BL</t>
        </is>
      </c>
      <c r="C223" s="1569" t="n">
        <v>31</v>
      </c>
      <c r="D223" s="1615">
        <f>C223</f>
        <v/>
      </c>
      <c r="E223" s="1571">
        <f>E222+D223</f>
        <v/>
      </c>
      <c r="F223" s="1571">
        <f>F222-D222</f>
        <v/>
      </c>
      <c r="G223" s="1572">
        <f>G222-D223</f>
        <v/>
      </c>
      <c r="H223" s="1644" t="n"/>
    </row>
    <row r="224" ht="290.25" customFormat="1" customHeight="1" s="1549">
      <c r="A224" s="1568" t="inlineStr">
        <is>
          <t>JT.#21</t>
        </is>
      </c>
      <c r="B224" s="1568" t="inlineStr">
        <is>
          <t>3-1/2" TUBING 9.2 LB/FT ALLOY 28 TSH BL</t>
        </is>
      </c>
      <c r="C224" s="1569" t="n">
        <v>31</v>
      </c>
      <c r="D224" s="1619">
        <f>C224</f>
        <v/>
      </c>
      <c r="E224" s="1571">
        <f>E223+D224</f>
        <v/>
      </c>
      <c r="F224" s="1571">
        <f>F223-D223</f>
        <v/>
      </c>
      <c r="G224" s="1572">
        <f>G223-D224</f>
        <v/>
      </c>
      <c r="H224" s="1629" t="inlineStr">
        <is>
          <t>TARGET @5500'</t>
        </is>
      </c>
    </row>
    <row r="225" ht="174.75" customFormat="1" customHeight="1" s="1549">
      <c r="A225" s="1568" t="inlineStr">
        <is>
          <t>JT.#22</t>
        </is>
      </c>
      <c r="B225" s="1568" t="inlineStr">
        <is>
          <t>3-1/2" TUBING 9.2 LB/FT ALLOY 28 TSH BL</t>
        </is>
      </c>
      <c r="C225" s="1569" t="n">
        <v>31</v>
      </c>
      <c r="D225" s="1619">
        <f>C225</f>
        <v/>
      </c>
      <c r="E225" s="1571">
        <f>E224+D225</f>
        <v/>
      </c>
      <c r="F225" s="1571">
        <f>F224-D224</f>
        <v/>
      </c>
      <c r="G225" s="1572">
        <f>G224-D225</f>
        <v/>
      </c>
      <c r="H225" s="1629" t="n"/>
    </row>
    <row r="226" ht="171" customFormat="1" customHeight="1" s="1549">
      <c r="A226" s="1568" t="inlineStr">
        <is>
          <t>JT.#23</t>
        </is>
      </c>
      <c r="B226" s="1568" t="inlineStr">
        <is>
          <t>3-1/2" TUBING 9.2 LB/FT ALLOY 28 TSH BL</t>
        </is>
      </c>
      <c r="C226" s="1569" t="n">
        <v>31</v>
      </c>
      <c r="D226" s="1619">
        <f>C226</f>
        <v/>
      </c>
      <c r="E226" s="1571">
        <f>E225+D226</f>
        <v/>
      </c>
      <c r="F226" s="1571">
        <f>F225-D225</f>
        <v/>
      </c>
      <c r="G226" s="1572">
        <f>G225-D226</f>
        <v/>
      </c>
      <c r="H226" s="1629" t="n"/>
    </row>
    <row r="227" ht="39.75" customFormat="1" customHeight="1" s="1549">
      <c r="A227" s="1568" t="inlineStr">
        <is>
          <t>JT.#24</t>
        </is>
      </c>
      <c r="B227" s="1568" t="inlineStr">
        <is>
          <t>3-1/2" TUBING 9.2 LB/FT ALLOY 28 TSH BL</t>
        </is>
      </c>
      <c r="C227" s="1569" t="n">
        <v>31</v>
      </c>
      <c r="D227" s="1570">
        <f>C227-0.301</f>
        <v/>
      </c>
      <c r="E227" s="1571">
        <f>E226+D227</f>
        <v/>
      </c>
      <c r="F227" s="1571">
        <f>F226-D226</f>
        <v/>
      </c>
      <c r="G227" s="1572">
        <f>G226-D227</f>
        <v/>
      </c>
      <c r="H227" s="1639" t="n"/>
      <c r="K227" s="1578" t="n"/>
    </row>
    <row r="228" ht="39.75" customFormat="1" customHeight="1" s="1549">
      <c r="A228" s="1568" t="inlineStr">
        <is>
          <t>JT.#25</t>
        </is>
      </c>
      <c r="B228" s="1568" t="inlineStr">
        <is>
          <t>3-1/2" TUBING 9.2 LB/FT ALLOY 28 TSH BL</t>
        </is>
      </c>
      <c r="C228" s="1569" t="n">
        <v>31</v>
      </c>
      <c r="D228" s="1589">
        <f>C228-0.301</f>
        <v/>
      </c>
      <c r="E228" s="1571">
        <f>E227+D228</f>
        <v/>
      </c>
      <c r="F228" s="1571">
        <f>F227-D227</f>
        <v/>
      </c>
      <c r="G228" s="1572">
        <f>G227-D228</f>
        <v/>
      </c>
      <c r="H228" s="1640" t="n"/>
      <c r="K228" s="1578" t="n"/>
    </row>
    <row r="229" ht="39.75" customFormat="1" customHeight="1" s="1549">
      <c r="A229" s="1568" t="inlineStr">
        <is>
          <t>JT.#26</t>
        </is>
      </c>
      <c r="B229" s="1568" t="inlineStr">
        <is>
          <t>3-1/2" TUBING 9.2 LB/FT ALLOY 28 TSH BL</t>
        </is>
      </c>
      <c r="C229" s="1569" t="n">
        <v>31</v>
      </c>
      <c r="D229" s="1570">
        <f>C229-0.301</f>
        <v/>
      </c>
      <c r="E229" s="1571">
        <f>E228+D229</f>
        <v/>
      </c>
      <c r="F229" s="1571">
        <f>F228-D228</f>
        <v/>
      </c>
      <c r="G229" s="1572">
        <f>G228-D229</f>
        <v/>
      </c>
      <c r="H229" s="1643" t="n"/>
      <c r="K229" s="1578" t="n"/>
    </row>
    <row r="230" ht="39.75" customFormat="1" customHeight="1" s="1549">
      <c r="A230" s="1568" t="inlineStr">
        <is>
          <t>JT.#27</t>
        </is>
      </c>
      <c r="B230" s="1568" t="inlineStr">
        <is>
          <t>3-1/2" TUBING 9.2 LB/FT ALLOY 28 TSH BL</t>
        </is>
      </c>
      <c r="C230" s="1569" t="n">
        <v>31</v>
      </c>
      <c r="D230" s="1570">
        <f>C230-0.301</f>
        <v/>
      </c>
      <c r="E230" s="1571">
        <f>E229+D230</f>
        <v/>
      </c>
      <c r="F230" s="1571">
        <f>F229-D229</f>
        <v/>
      </c>
      <c r="G230" s="1572">
        <f>G229-D230</f>
        <v/>
      </c>
      <c r="H230" s="1593" t="n"/>
      <c r="K230" s="1578" t="n"/>
    </row>
    <row r="231" ht="39.75" customFormat="1" customHeight="1" s="1549">
      <c r="A231" s="1568" t="inlineStr">
        <is>
          <t>JT.#28</t>
        </is>
      </c>
      <c r="B231" s="1568" t="inlineStr">
        <is>
          <t>3-1/2" TUBING 9.2 LB/FT ALLOY 28 TSH BL</t>
        </is>
      </c>
      <c r="C231" s="1569" t="n">
        <v>31</v>
      </c>
      <c r="D231" s="1570">
        <f>C231-0.301</f>
        <v/>
      </c>
      <c r="E231" s="1571">
        <f>E230+D231</f>
        <v/>
      </c>
      <c r="F231" s="1571">
        <f>F230-D230</f>
        <v/>
      </c>
      <c r="G231" s="1572">
        <f>G230-D231</f>
        <v/>
      </c>
      <c r="K231" s="1578" t="n"/>
    </row>
    <row r="232" ht="39.75" customFormat="1" customHeight="1" s="1549">
      <c r="A232" s="1568" t="inlineStr">
        <is>
          <t>JT.#29</t>
        </is>
      </c>
      <c r="B232" s="1568" t="inlineStr">
        <is>
          <t>3-1/2" TUBING 9.2 LB/FT ALLOY 28 TSH BL</t>
        </is>
      </c>
      <c r="C232" s="1569" t="n">
        <v>31</v>
      </c>
      <c r="D232" s="1570">
        <f>C232-0.301</f>
        <v/>
      </c>
      <c r="E232" s="1571">
        <f>E231+D232</f>
        <v/>
      </c>
      <c r="F232" s="1571">
        <f>F231-D231</f>
        <v/>
      </c>
      <c r="G232" s="1572">
        <f>G231-D232</f>
        <v/>
      </c>
      <c r="H232" s="1594" t="inlineStr">
        <is>
          <t xml:space="preserve">FILL UP STRING </t>
        </is>
      </c>
      <c r="K232" s="1578" t="n"/>
    </row>
    <row r="233" ht="39.75" customFormat="1" customHeight="1" s="1549">
      <c r="A233" s="1568" t="inlineStr">
        <is>
          <t>JT.#30</t>
        </is>
      </c>
      <c r="B233" s="1568" t="inlineStr">
        <is>
          <t>3-1/2" TUBING 9.2 LB/FT ALLOY 28 TSH BL</t>
        </is>
      </c>
      <c r="C233" s="1569" t="n">
        <v>31</v>
      </c>
      <c r="D233" s="1570">
        <f>C233-0.301</f>
        <v/>
      </c>
      <c r="E233" s="1571">
        <f>E232+D233</f>
        <v/>
      </c>
      <c r="F233" s="1571">
        <f>F232-D232</f>
        <v/>
      </c>
      <c r="G233" s="1572">
        <f>G232-D233</f>
        <v/>
      </c>
      <c r="K233" s="1578" t="n"/>
    </row>
    <row r="234" ht="39.75" customFormat="1" customHeight="1" s="1549">
      <c r="A234" s="1568" t="inlineStr">
        <is>
          <t>JT.#31</t>
        </is>
      </c>
      <c r="B234" s="1568" t="inlineStr">
        <is>
          <t>3-1/2" TUBING 9.2 LB/FT ALLOY 28 TSH BL</t>
        </is>
      </c>
      <c r="C234" s="1569" t="n">
        <v>31</v>
      </c>
      <c r="D234" s="1570">
        <f>C234-0.301</f>
        <v/>
      </c>
      <c r="E234" s="1571">
        <f>E233+D234</f>
        <v/>
      </c>
      <c r="F234" s="1571">
        <f>F233-D233</f>
        <v/>
      </c>
      <c r="G234" s="1572">
        <f>G233-D234</f>
        <v/>
      </c>
      <c r="H234" s="1639" t="n"/>
      <c r="K234" s="1578" t="n"/>
    </row>
    <row r="235" ht="39.75" customFormat="1" customHeight="1" s="1549">
      <c r="A235" s="1568" t="inlineStr">
        <is>
          <t>JT.#32</t>
        </is>
      </c>
      <c r="B235" s="1568" t="inlineStr">
        <is>
          <t>3-1/2" TUBING 9.2 LB/FT ALLOY 28 TSH BL</t>
        </is>
      </c>
      <c r="C235" s="1569" t="n">
        <v>31</v>
      </c>
      <c r="D235" s="1570">
        <f>C235-0.301</f>
        <v/>
      </c>
      <c r="E235" s="1571">
        <f>E234+D235</f>
        <v/>
      </c>
      <c r="F235" s="1571">
        <f>F234-D234</f>
        <v/>
      </c>
      <c r="G235" s="1572">
        <f>G234-D235</f>
        <v/>
      </c>
      <c r="H235" s="1639" t="n"/>
      <c r="K235" s="1578" t="n"/>
    </row>
    <row r="236" ht="39.75" customFormat="1" customHeight="1" s="1549">
      <c r="A236" s="1568" t="inlineStr">
        <is>
          <t>JT.#33</t>
        </is>
      </c>
      <c r="B236" s="1568" t="inlineStr">
        <is>
          <t>3-1/2" TUBING 9.2 LB/FT ALLOY 28 TSH BL</t>
        </is>
      </c>
      <c r="C236" s="1569" t="n">
        <v>31</v>
      </c>
      <c r="D236" s="1570">
        <f>C236-0.301</f>
        <v/>
      </c>
      <c r="E236" s="1571">
        <f>E235+D236</f>
        <v/>
      </c>
      <c r="F236" s="1571">
        <f>F235-D235</f>
        <v/>
      </c>
      <c r="G236" s="1572">
        <f>G235-D236</f>
        <v/>
      </c>
      <c r="H236" s="1639" t="n"/>
      <c r="K236" s="1578" t="n"/>
    </row>
    <row r="237" ht="39.75" customFormat="1" customHeight="1" s="1549">
      <c r="A237" s="1568" t="inlineStr">
        <is>
          <t>JT.#34</t>
        </is>
      </c>
      <c r="B237" s="1568" t="inlineStr">
        <is>
          <t>3-1/2" TUBING 9.2 LB/FT ALLOY 28 TSH BL</t>
        </is>
      </c>
      <c r="C237" s="1569" t="n">
        <v>31</v>
      </c>
      <c r="D237" s="1570">
        <f>C237-0.301</f>
        <v/>
      </c>
      <c r="E237" s="1571">
        <f>E236+D237</f>
        <v/>
      </c>
      <c r="F237" s="1571">
        <f>F236-D236</f>
        <v/>
      </c>
      <c r="G237" s="1572">
        <f>G236-D237</f>
        <v/>
      </c>
      <c r="H237" s="1639" t="n"/>
      <c r="K237" s="1578" t="n"/>
    </row>
    <row r="238" ht="39.75" customFormat="1" customHeight="1" s="1549">
      <c r="A238" s="1568" t="inlineStr">
        <is>
          <t>JT.#35</t>
        </is>
      </c>
      <c r="B238" s="1568" t="inlineStr">
        <is>
          <t>3-1/2" TUBING 9.2 LB/FT ALLOY 28 TSH BL</t>
        </is>
      </c>
      <c r="C238" s="1569" t="n">
        <v>31</v>
      </c>
      <c r="D238" s="1570">
        <f>C238-0.301</f>
        <v/>
      </c>
      <c r="E238" s="1571">
        <f>E237+D238</f>
        <v/>
      </c>
      <c r="F238" s="1571">
        <f>F237-D237</f>
        <v/>
      </c>
      <c r="G238" s="1572">
        <f>G237-D238</f>
        <v/>
      </c>
      <c r="H238" s="1639" t="n"/>
      <c r="K238" s="1578" t="n"/>
    </row>
    <row r="239" ht="39.75" customFormat="1" customHeight="1" s="1549">
      <c r="A239" s="1568" t="inlineStr">
        <is>
          <t>JT.#36</t>
        </is>
      </c>
      <c r="B239" s="1568" t="inlineStr">
        <is>
          <t>3-1/2" TUBING 9.2 LB/FT ALLOY 28 TSH BL</t>
        </is>
      </c>
      <c r="C239" s="1569" t="n">
        <v>31</v>
      </c>
      <c r="D239" s="1570">
        <f>C239-0.301</f>
        <v/>
      </c>
      <c r="E239" s="1571">
        <f>E238+D239</f>
        <v/>
      </c>
      <c r="F239" s="1571">
        <f>F238-D238</f>
        <v/>
      </c>
      <c r="G239" s="1572">
        <f>G238-D239</f>
        <v/>
      </c>
      <c r="H239" s="1639" t="n"/>
      <c r="K239" s="1578" t="n"/>
    </row>
    <row r="240" ht="39.75" customFormat="1" customHeight="1" s="1549">
      <c r="A240" s="1568" t="inlineStr">
        <is>
          <t>JT.#37</t>
        </is>
      </c>
      <c r="B240" s="1568" t="inlineStr">
        <is>
          <t>3-1/2" TUBING 9.2 LB/FT ALLOY 28 TSH BL</t>
        </is>
      </c>
      <c r="C240" s="1569" t="n">
        <v>31</v>
      </c>
      <c r="D240" s="1570">
        <f>C240-0.301</f>
        <v/>
      </c>
      <c r="E240" s="1571">
        <f>E239+D240</f>
        <v/>
      </c>
      <c r="F240" s="1571">
        <f>F239-D239</f>
        <v/>
      </c>
      <c r="G240" s="1572">
        <f>G239-D240</f>
        <v/>
      </c>
      <c r="H240" s="1593" t="n"/>
      <c r="K240" s="1578" t="n"/>
    </row>
    <row r="241" ht="39.75" customFormat="1" customHeight="1" s="1549">
      <c r="A241" s="1568" t="inlineStr">
        <is>
          <t>JT.#38</t>
        </is>
      </c>
      <c r="B241" s="1568" t="inlineStr">
        <is>
          <t>3-1/2" TUBING 9.2 LB/FT ALLOY 28 TSH BL</t>
        </is>
      </c>
      <c r="C241" s="1569" t="n">
        <v>31</v>
      </c>
      <c r="D241" s="1570">
        <f>C241-0.301</f>
        <v/>
      </c>
      <c r="E241" s="1571">
        <f>E240+D241</f>
        <v/>
      </c>
      <c r="F241" s="1571">
        <f>F240-D240</f>
        <v/>
      </c>
      <c r="G241" s="1572">
        <f>G240-D241</f>
        <v/>
      </c>
      <c r="K241" s="1578" t="n"/>
    </row>
    <row r="242" ht="108" customFormat="1" customHeight="1" s="1549">
      <c r="A242" s="1568" t="inlineStr">
        <is>
          <t>JT.#39</t>
        </is>
      </c>
      <c r="B242" s="1568" t="inlineStr">
        <is>
          <t>3-1/2" TUBING 9.2 LB/FT ALLOY 28 TSH BL</t>
        </is>
      </c>
      <c r="C242" s="1569" t="n">
        <v>31</v>
      </c>
      <c r="D242" s="1615">
        <f>C242-0.301</f>
        <v/>
      </c>
      <c r="E242" s="1571">
        <f>E241+D242</f>
        <v/>
      </c>
      <c r="F242" s="1571">
        <f>F241-D241</f>
        <v/>
      </c>
      <c r="G242" s="1572">
        <f>G241-D242</f>
        <v/>
      </c>
      <c r="H242" s="1644" t="n"/>
    </row>
    <row r="243" ht="112.5" customFormat="1" customHeight="1" s="1549">
      <c r="A243" s="1568" t="inlineStr">
        <is>
          <t>JT.#40</t>
        </is>
      </c>
      <c r="B243" s="1568" t="inlineStr">
        <is>
          <t>3-1/2" TUBING 9.2 LB/FT ALLOY 28 TSH BL</t>
        </is>
      </c>
      <c r="C243" s="1569" t="n">
        <v>31</v>
      </c>
      <c r="D243" s="1615">
        <f>C243</f>
        <v/>
      </c>
      <c r="E243" s="1571">
        <f>E242+D243</f>
        <v/>
      </c>
      <c r="F243" s="1571">
        <f>F242-D242</f>
        <v/>
      </c>
      <c r="G243" s="1572">
        <f>G242-D243</f>
        <v/>
      </c>
      <c r="H243" s="1644" t="n"/>
    </row>
    <row r="244" ht="207" customFormat="1" customHeight="1" s="1549">
      <c r="A244" s="1568" t="inlineStr">
        <is>
          <t>JT.#41</t>
        </is>
      </c>
      <c r="B244" s="1568" t="inlineStr">
        <is>
          <t>3-1/2" TUBING 9.2 LB/FT ALLOY 28 TSH BL</t>
        </is>
      </c>
      <c r="C244" s="1569" t="n">
        <v>31</v>
      </c>
      <c r="D244" s="1619">
        <f>C244</f>
        <v/>
      </c>
      <c r="E244" s="1571">
        <f>E243+D244</f>
        <v/>
      </c>
      <c r="F244" s="1571">
        <f>F243-D243</f>
        <v/>
      </c>
      <c r="G244" s="1572">
        <f>G243-D244</f>
        <v/>
      </c>
      <c r="H244" s="1629" t="inlineStr">
        <is>
          <t>TARGET @5000'</t>
        </is>
      </c>
    </row>
    <row r="245" ht="131.25" customFormat="1" customHeight="1" s="1549">
      <c r="A245" s="1568" t="inlineStr">
        <is>
          <t>JT.#42</t>
        </is>
      </c>
      <c r="B245" s="1568" t="inlineStr">
        <is>
          <t>3-1/2" TUBING 9.2 LB/FT ALLOY 28 TSH BL</t>
        </is>
      </c>
      <c r="C245" s="1569" t="n">
        <v>31</v>
      </c>
      <c r="D245" s="1619">
        <f>C245</f>
        <v/>
      </c>
      <c r="E245" s="1571">
        <f>E244+D245</f>
        <v/>
      </c>
      <c r="F245" s="1571">
        <f>F244-D244</f>
        <v/>
      </c>
      <c r="G245" s="1572">
        <f>G244-D245</f>
        <v/>
      </c>
      <c r="H245" s="1629" t="n"/>
    </row>
    <row r="246" ht="131.25" customFormat="1" customHeight="1" s="1549">
      <c r="A246" s="1568" t="inlineStr">
        <is>
          <t>JT.#43</t>
        </is>
      </c>
      <c r="B246" s="1568" t="inlineStr">
        <is>
          <t>3-1/2" TUBING 9.2 LB/FT ALLOY 28 TSH BL</t>
        </is>
      </c>
      <c r="C246" s="1569" t="n">
        <v>31</v>
      </c>
      <c r="D246" s="1619">
        <f>C246</f>
        <v/>
      </c>
      <c r="E246" s="1571">
        <f>E245+D246</f>
        <v/>
      </c>
      <c r="F246" s="1571">
        <f>F245-D245</f>
        <v/>
      </c>
      <c r="G246" s="1572">
        <f>G245-D246</f>
        <v/>
      </c>
      <c r="H246" s="1629" t="n"/>
    </row>
    <row r="247" ht="39.75" customFormat="1" customHeight="1" s="1549">
      <c r="A247" s="1568" t="inlineStr">
        <is>
          <t>JT.#44</t>
        </is>
      </c>
      <c r="B247" s="1568" t="inlineStr">
        <is>
          <t>3-1/2" TUBING 9.2 LB/FT ALLOY 28 TSH BL</t>
        </is>
      </c>
      <c r="C247" s="1569" t="n">
        <v>31</v>
      </c>
      <c r="D247" s="1570">
        <f>C247-0.301</f>
        <v/>
      </c>
      <c r="E247" s="1571">
        <f>E246+D247</f>
        <v/>
      </c>
      <c r="F247" s="1571">
        <f>F246-D246</f>
        <v/>
      </c>
      <c r="G247" s="1572">
        <f>G246-D247</f>
        <v/>
      </c>
      <c r="H247" s="1594" t="inlineStr">
        <is>
          <t xml:space="preserve">FILL UP STRING </t>
        </is>
      </c>
      <c r="K247" s="1578" t="n"/>
    </row>
    <row r="248" ht="39.75" customFormat="1" customHeight="1" s="1549">
      <c r="A248" s="1568" t="inlineStr">
        <is>
          <t>JT.#45</t>
        </is>
      </c>
      <c r="B248" s="1568" t="inlineStr">
        <is>
          <t>3-1/2" TUBING 9.2 LB/FT ALLOY 28 TSH BL</t>
        </is>
      </c>
      <c r="C248" s="1569" t="n">
        <v>31</v>
      </c>
      <c r="D248" s="1570">
        <f>C248-0.301</f>
        <v/>
      </c>
      <c r="E248" s="1571">
        <f>E247+D248</f>
        <v/>
      </c>
      <c r="F248" s="1571">
        <f>F247-D247</f>
        <v/>
      </c>
      <c r="G248" s="1572">
        <f>G247-D248</f>
        <v/>
      </c>
      <c r="K248" s="1578" t="n"/>
    </row>
    <row r="249" ht="39.75" customFormat="1" customHeight="1" s="1549">
      <c r="A249" s="1568" t="inlineStr">
        <is>
          <t>JT.#46</t>
        </is>
      </c>
      <c r="B249" s="1568" t="inlineStr">
        <is>
          <t>3-1/2" TUBING 9.2 LB/FT ALLOY 28 TSH BL</t>
        </is>
      </c>
      <c r="C249" s="1569" t="n">
        <v>31</v>
      </c>
      <c r="D249" s="1570">
        <f>C249-0.301</f>
        <v/>
      </c>
      <c r="E249" s="1571">
        <f>E248+D249</f>
        <v/>
      </c>
      <c r="F249" s="1571">
        <f>F248-D248</f>
        <v/>
      </c>
      <c r="G249" s="1572">
        <f>G248-D249</f>
        <v/>
      </c>
      <c r="H249" s="1639" t="n"/>
      <c r="K249" s="1578" t="n"/>
    </row>
    <row r="250" ht="39.75" customFormat="1" customHeight="1" s="1549">
      <c r="A250" s="1568" t="inlineStr">
        <is>
          <t>JT.#47</t>
        </is>
      </c>
      <c r="B250" s="1568" t="inlineStr">
        <is>
          <t>3-1/2" TUBING 9.2 LB/FT ALLOY 28 TSH BL</t>
        </is>
      </c>
      <c r="C250" s="1569" t="n">
        <v>31</v>
      </c>
      <c r="D250" s="1570">
        <f>C250-0.301</f>
        <v/>
      </c>
      <c r="E250" s="1571">
        <f>E249+D250</f>
        <v/>
      </c>
      <c r="F250" s="1571">
        <f>F249-D249</f>
        <v/>
      </c>
      <c r="G250" s="1572">
        <f>G249-D250</f>
        <v/>
      </c>
      <c r="H250" s="1639" t="n"/>
      <c r="K250" s="1578" t="n"/>
    </row>
    <row r="251" ht="39.75" customFormat="1" customHeight="1" s="1549">
      <c r="A251" s="1568" t="inlineStr">
        <is>
          <t>JT.#48</t>
        </is>
      </c>
      <c r="B251" s="1568" t="inlineStr">
        <is>
          <t>3-1/2" TUBING 9.2 LB/FT ALLOY 28 TSH BL</t>
        </is>
      </c>
      <c r="C251" s="1569" t="n">
        <v>31</v>
      </c>
      <c r="D251" s="1570">
        <f>C251-0.301</f>
        <v/>
      </c>
      <c r="E251" s="1571">
        <f>E250+D251</f>
        <v/>
      </c>
      <c r="F251" s="1571">
        <f>F250-D250</f>
        <v/>
      </c>
      <c r="G251" s="1572">
        <f>G250-D251</f>
        <v/>
      </c>
      <c r="H251" s="1639" t="n"/>
      <c r="K251" s="1578" t="n"/>
    </row>
    <row r="252" ht="39.75" customFormat="1" customHeight="1" s="1549">
      <c r="A252" s="1568" t="inlineStr">
        <is>
          <t>JT.#49</t>
        </is>
      </c>
      <c r="B252" s="1568" t="inlineStr">
        <is>
          <t>3-1/2" TUBING 9.2 LB/FT ALLOY 28 TSH BL</t>
        </is>
      </c>
      <c r="C252" s="1569" t="n">
        <v>31</v>
      </c>
      <c r="D252" s="1570">
        <f>C252-0.301</f>
        <v/>
      </c>
      <c r="E252" s="1571">
        <f>E251+D252</f>
        <v/>
      </c>
      <c r="F252" s="1571">
        <f>F251-D251</f>
        <v/>
      </c>
      <c r="G252" s="1572">
        <f>G251-D252</f>
        <v/>
      </c>
      <c r="H252" s="1639" t="n"/>
      <c r="K252" s="1578" t="n"/>
    </row>
    <row r="253" ht="39.75" customFormat="1" customHeight="1" s="1549">
      <c r="A253" s="1568" t="inlineStr">
        <is>
          <t>JT.#50</t>
        </is>
      </c>
      <c r="B253" s="1568" t="inlineStr">
        <is>
          <t>3-1/2" TUBING 9.2 LB/FT ALLOY 28 TSH BL</t>
        </is>
      </c>
      <c r="C253" s="1569" t="n">
        <v>31</v>
      </c>
      <c r="D253" s="1570">
        <f>C253-0.301</f>
        <v/>
      </c>
      <c r="E253" s="1571">
        <f>E252+D253</f>
        <v/>
      </c>
      <c r="F253" s="1571">
        <f>F252-D252</f>
        <v/>
      </c>
      <c r="G253" s="1572">
        <f>G252-D253</f>
        <v/>
      </c>
      <c r="H253" s="1639" t="n"/>
      <c r="K253" s="1578" t="n"/>
    </row>
    <row r="254" ht="39.75" customFormat="1" customHeight="1" s="1549">
      <c r="A254" s="1568" t="inlineStr">
        <is>
          <t>JT.#51</t>
        </is>
      </c>
      <c r="B254" s="1568" t="inlineStr">
        <is>
          <t>3-1/2" TUBING 9.2 LB/FT ALLOY 28 TSH BL</t>
        </is>
      </c>
      <c r="C254" s="1569" t="n">
        <v>31</v>
      </c>
      <c r="D254" s="1570">
        <f>C254-0.301</f>
        <v/>
      </c>
      <c r="E254" s="1571">
        <f>E253+D254</f>
        <v/>
      </c>
      <c r="F254" s="1571">
        <f>F253-D253</f>
        <v/>
      </c>
      <c r="G254" s="1572">
        <f>G253-D254</f>
        <v/>
      </c>
      <c r="H254" s="1639" t="n"/>
      <c r="K254" s="1578" t="n"/>
    </row>
    <row r="255" ht="39.75" customFormat="1" customHeight="1" s="1549">
      <c r="A255" s="1568" t="inlineStr">
        <is>
          <t>JT.#52</t>
        </is>
      </c>
      <c r="B255" s="1568" t="inlineStr">
        <is>
          <t>3-1/2" TUBING 9.2 LB/FT ALLOY 28 TSH BL</t>
        </is>
      </c>
      <c r="C255" s="1569" t="n">
        <v>31</v>
      </c>
      <c r="D255" s="1570">
        <f>C255-0.301</f>
        <v/>
      </c>
      <c r="E255" s="1571">
        <f>E254+D255</f>
        <v/>
      </c>
      <c r="F255" s="1571">
        <f>F254-D254</f>
        <v/>
      </c>
      <c r="G255" s="1572">
        <f>G254-D255</f>
        <v/>
      </c>
      <c r="H255" s="1593" t="n"/>
      <c r="K255" s="1578" t="n"/>
    </row>
    <row r="256" ht="39.75" customFormat="1" customHeight="1" s="1549">
      <c r="A256" s="1568" t="inlineStr">
        <is>
          <t>JT.#53</t>
        </is>
      </c>
      <c r="B256" s="1568" t="inlineStr">
        <is>
          <t>3-1/2" TUBING 9.2 LB/FT ALLOY 28 TSH BL</t>
        </is>
      </c>
      <c r="C256" s="1569" t="n">
        <v>31</v>
      </c>
      <c r="D256" s="1570">
        <f>C256-0.301</f>
        <v/>
      </c>
      <c r="E256" s="1571">
        <f>E255+D256</f>
        <v/>
      </c>
      <c r="F256" s="1571">
        <f>F255-D255</f>
        <v/>
      </c>
      <c r="G256" s="1572">
        <f>G255-D256</f>
        <v/>
      </c>
      <c r="K256" s="1578" t="n"/>
    </row>
    <row r="257" ht="39.75" customFormat="1" customHeight="1" s="1549">
      <c r="A257" s="1568" t="inlineStr">
        <is>
          <t>JT.#54</t>
        </is>
      </c>
      <c r="B257" s="1568" t="inlineStr">
        <is>
          <t>3-1/2" TUBING 9.2 LB/FT ALLOY 28 TSH BL</t>
        </is>
      </c>
      <c r="C257" s="1569" t="n">
        <v>31</v>
      </c>
      <c r="D257" s="1570">
        <f>C257-0.301</f>
        <v/>
      </c>
      <c r="E257" s="1571">
        <f>E256+D257</f>
        <v/>
      </c>
      <c r="F257" s="1571">
        <f>F256-D256</f>
        <v/>
      </c>
      <c r="G257" s="1572">
        <f>G256-D257</f>
        <v/>
      </c>
      <c r="H257" s="1639" t="n"/>
      <c r="K257" s="1578" t="n"/>
    </row>
    <row r="258" ht="39.75" customFormat="1" customHeight="1" s="1549">
      <c r="A258" s="1568" t="inlineStr">
        <is>
          <t>JT.#55</t>
        </is>
      </c>
      <c r="B258" s="1568" t="inlineStr">
        <is>
          <t>3-1/2" TUBING 9.2 LB/FT ALLOY 28 TSH BL</t>
        </is>
      </c>
      <c r="C258" s="1569" t="n">
        <v>31</v>
      </c>
      <c r="D258" s="1570">
        <f>C258-0.301</f>
        <v/>
      </c>
      <c r="E258" s="1571">
        <f>E257+D258</f>
        <v/>
      </c>
      <c r="F258" s="1571">
        <f>F257-D257</f>
        <v/>
      </c>
      <c r="G258" s="1572">
        <f>G257-D258</f>
        <v/>
      </c>
      <c r="H258" s="1594" t="inlineStr">
        <is>
          <t xml:space="preserve">FILL UP STRING </t>
        </is>
      </c>
      <c r="K258" s="1578" t="n"/>
    </row>
    <row r="259" ht="39.75" customFormat="1" customHeight="1" s="1549">
      <c r="A259" s="1568" t="inlineStr">
        <is>
          <t>JT.#56</t>
        </is>
      </c>
      <c r="B259" s="1568" t="inlineStr">
        <is>
          <t>3-1/2" TUBING 9.2 LB/FT ALLOY 28 TSH BL</t>
        </is>
      </c>
      <c r="C259" s="1569" t="n">
        <v>31</v>
      </c>
      <c r="D259" s="1570">
        <f>C259-0.301</f>
        <v/>
      </c>
      <c r="E259" s="1571">
        <f>E258+D259</f>
        <v/>
      </c>
      <c r="F259" s="1571">
        <f>F258-D258</f>
        <v/>
      </c>
      <c r="G259" s="1572">
        <f>G258-D259</f>
        <v/>
      </c>
      <c r="H259" s="1639" t="n"/>
      <c r="K259" s="1578" t="n"/>
    </row>
    <row r="260" ht="39.75" customFormat="1" customHeight="1" s="1549">
      <c r="A260" s="1568" t="inlineStr">
        <is>
          <t>JT.#57</t>
        </is>
      </c>
      <c r="B260" s="1568" t="inlineStr">
        <is>
          <t>3-1/2" TUBING 9.2 LB/FT ALLOY 28 TSH BL</t>
        </is>
      </c>
      <c r="C260" s="1569" t="n">
        <v>31</v>
      </c>
      <c r="D260" s="1570">
        <f>C260-0.301</f>
        <v/>
      </c>
      <c r="E260" s="1571">
        <f>E259+D260</f>
        <v/>
      </c>
      <c r="F260" s="1571">
        <f>F259-D259</f>
        <v/>
      </c>
      <c r="G260" s="1572">
        <f>G259-D260</f>
        <v/>
      </c>
      <c r="H260" s="1639" t="n"/>
      <c r="K260" s="1578" t="n"/>
    </row>
    <row r="261" ht="39.75" customFormat="1" customHeight="1" s="1549">
      <c r="A261" s="1568" t="inlineStr">
        <is>
          <t>JT.#58</t>
        </is>
      </c>
      <c r="B261" s="1568" t="inlineStr">
        <is>
          <t>3-1/2" TUBING 9.2 LB/FT ALLOY 28 TSH BL</t>
        </is>
      </c>
      <c r="C261" s="1569" t="n">
        <v>31</v>
      </c>
      <c r="D261" s="1570">
        <f>C261-0.301</f>
        <v/>
      </c>
      <c r="E261" s="1571">
        <f>E260+D261</f>
        <v/>
      </c>
      <c r="F261" s="1571">
        <f>F260-D260</f>
        <v/>
      </c>
      <c r="G261" s="1572">
        <f>G260-D261</f>
        <v/>
      </c>
      <c r="H261" s="1639" t="n"/>
      <c r="K261" s="1578" t="n"/>
    </row>
    <row r="262" ht="39.75" customFormat="1" customHeight="1" s="1549">
      <c r="A262" s="1568" t="inlineStr">
        <is>
          <t>JT.#59</t>
        </is>
      </c>
      <c r="B262" s="1568" t="inlineStr">
        <is>
          <t>3-1/2" TUBING 9.2 LB/FT ALLOY 28 TSH BL</t>
        </is>
      </c>
      <c r="C262" s="1569" t="n">
        <v>31</v>
      </c>
      <c r="D262" s="1570">
        <f>C262-0.301</f>
        <v/>
      </c>
      <c r="E262" s="1571">
        <f>E261+D262</f>
        <v/>
      </c>
      <c r="F262" s="1571">
        <f>F261-D261</f>
        <v/>
      </c>
      <c r="G262" s="1572">
        <f>G261-D262</f>
        <v/>
      </c>
      <c r="H262" s="1639" t="n"/>
      <c r="K262" s="1578" t="n"/>
    </row>
    <row r="263" ht="39.75" customFormat="1" customHeight="1" s="1549">
      <c r="A263" s="1568" t="inlineStr">
        <is>
          <t>JT.#60</t>
        </is>
      </c>
      <c r="B263" s="1568" t="inlineStr">
        <is>
          <t>3-1/2" TUBING 9.2 LB/FT ALLOY 28 TSH BL</t>
        </is>
      </c>
      <c r="C263" s="1569" t="n">
        <v>31</v>
      </c>
      <c r="D263" s="1570">
        <f>C263-0.301</f>
        <v/>
      </c>
      <c r="E263" s="1571">
        <f>E262+D263</f>
        <v/>
      </c>
      <c r="F263" s="1571">
        <f>F262-D262</f>
        <v/>
      </c>
      <c r="G263" s="1572">
        <f>G262-D263</f>
        <v/>
      </c>
      <c r="H263" s="1639" t="n"/>
      <c r="K263" s="1578" t="n"/>
    </row>
    <row r="264" ht="39.75" customFormat="1" customHeight="1" s="1549">
      <c r="A264" s="1568" t="inlineStr">
        <is>
          <t>JT.#61</t>
        </is>
      </c>
      <c r="B264" s="1568" t="inlineStr">
        <is>
          <t>3-1/2" TUBING 9.2 LB/FT ALLOY 28 TSH BL</t>
        </is>
      </c>
      <c r="C264" s="1569" t="n">
        <v>31</v>
      </c>
      <c r="D264" s="1570">
        <f>C264-0.301</f>
        <v/>
      </c>
      <c r="E264" s="1571">
        <f>E263+D264</f>
        <v/>
      </c>
      <c r="F264" s="1571">
        <f>F263-D263</f>
        <v/>
      </c>
      <c r="G264" s="1572">
        <f>G263-D264</f>
        <v/>
      </c>
      <c r="H264" s="1639" t="n"/>
      <c r="K264" s="1578" t="n"/>
    </row>
    <row r="265" ht="39.75" customFormat="1" customHeight="1" s="1549">
      <c r="A265" s="1568" t="inlineStr">
        <is>
          <t>JT.#62</t>
        </is>
      </c>
      <c r="B265" s="1568" t="inlineStr">
        <is>
          <t>3-1/2" TUBING 9.2 LB/FT ALLOY 28 TSH BL</t>
        </is>
      </c>
      <c r="C265" s="1569" t="n">
        <v>31</v>
      </c>
      <c r="D265" s="1570">
        <f>C265-0.301</f>
        <v/>
      </c>
      <c r="E265" s="1571">
        <f>E264+D265</f>
        <v/>
      </c>
      <c r="F265" s="1571">
        <f>F264-D264</f>
        <v/>
      </c>
      <c r="G265" s="1572">
        <f>G264-D265</f>
        <v/>
      </c>
      <c r="H265" s="1593" t="inlineStr">
        <is>
          <t>.</t>
        </is>
      </c>
      <c r="K265" s="1578" t="n"/>
    </row>
    <row r="266" ht="39.75" customFormat="1" customHeight="1" s="1549">
      <c r="A266" s="1568" t="inlineStr">
        <is>
          <t>JT.#63</t>
        </is>
      </c>
      <c r="B266" s="1568" t="inlineStr">
        <is>
          <t>3-1/2" TUBING 9.2 LB/FT ALLOY 28 TSH BL</t>
        </is>
      </c>
      <c r="C266" s="1569" t="n">
        <v>31</v>
      </c>
      <c r="D266" s="1570">
        <f>C266-0.301</f>
        <v/>
      </c>
      <c r="E266" s="1571">
        <f>E265+D266</f>
        <v/>
      </c>
      <c r="F266" s="1571">
        <f>F265-D265</f>
        <v/>
      </c>
      <c r="G266" s="1572">
        <f>G265-D266</f>
        <v/>
      </c>
      <c r="K266" s="1578" t="n"/>
    </row>
    <row r="267" ht="39.75" customFormat="1" customHeight="1" s="1549">
      <c r="A267" s="1568" t="inlineStr">
        <is>
          <t>JT.#64</t>
        </is>
      </c>
      <c r="B267" s="1568" t="inlineStr">
        <is>
          <t>3-1/2" TUBING 9.2 LB/FT ALLOY 28 TSH BL</t>
        </is>
      </c>
      <c r="C267" s="1569" t="n">
        <v>31</v>
      </c>
      <c r="D267" s="1570">
        <f>C267-0.301</f>
        <v/>
      </c>
      <c r="E267" s="1571">
        <f>E266+D267</f>
        <v/>
      </c>
      <c r="F267" s="1571">
        <f>F266-D266</f>
        <v/>
      </c>
      <c r="G267" s="1572">
        <f>G266-D267</f>
        <v/>
      </c>
      <c r="H267" s="1594" t="inlineStr">
        <is>
          <t xml:space="preserve">FILL UP STRING </t>
        </is>
      </c>
      <c r="K267" s="1578" t="n"/>
    </row>
    <row r="268" ht="39.75" customFormat="1" customHeight="1" s="1549">
      <c r="A268" s="1568" t="inlineStr">
        <is>
          <t>JT.#65</t>
        </is>
      </c>
      <c r="B268" s="1568" t="inlineStr">
        <is>
          <t>3-1/2" TUBING 9.2 LB/FT ALLOY 28 TSH BL</t>
        </is>
      </c>
      <c r="C268" s="1569" t="n">
        <v>31</v>
      </c>
      <c r="D268" s="1570">
        <f>C268-0.301</f>
        <v/>
      </c>
      <c r="E268" s="1571">
        <f>E267+D268</f>
        <v/>
      </c>
      <c r="F268" s="1571">
        <f>F267-D267</f>
        <v/>
      </c>
      <c r="G268" s="1572">
        <f>G267-D268</f>
        <v/>
      </c>
      <c r="K268" s="1578" t="n"/>
    </row>
    <row r="269" ht="39.75" customFormat="1" customHeight="1" s="1549">
      <c r="A269" s="1568" t="inlineStr">
        <is>
          <t>JT.#66</t>
        </is>
      </c>
      <c r="B269" s="1568" t="inlineStr">
        <is>
          <t>3-1/2" TUBING 9.2 LB/FT ALLOY 28 TSH BL</t>
        </is>
      </c>
      <c r="C269" s="1569" t="n">
        <v>31</v>
      </c>
      <c r="D269" s="1570">
        <f>C269-0.301</f>
        <v/>
      </c>
      <c r="E269" s="1571">
        <f>E268+D269</f>
        <v/>
      </c>
      <c r="F269" s="1571">
        <f>F268-D268</f>
        <v/>
      </c>
      <c r="G269" s="1572">
        <f>G268-D269</f>
        <v/>
      </c>
      <c r="H269" s="1639" t="n"/>
      <c r="K269" s="1578" t="n"/>
    </row>
    <row r="270" ht="39.75" customFormat="1" customHeight="1" s="1549">
      <c r="A270" s="1645" t="inlineStr">
        <is>
          <t>SP-01</t>
        </is>
      </c>
      <c r="B270" s="1646" t="inlineStr">
        <is>
          <t>UPPER CONN. 3-1/2" VAM TOP BOX 9.2 PPF SN 28 110 KSI
DESCRIPTION: 5 FEET XOVER
SAP: 130005011340
SUPPLIER: TENARIS
UPPER CONN. 3-1/2" TSH BLUE PIN 9.2 PPF SN 28 110 KSI</t>
        </is>
      </c>
      <c r="C270" s="1647" t="n">
        <v>5.18</v>
      </c>
      <c r="D270" s="1570">
        <f>C270-0.301</f>
        <v/>
      </c>
      <c r="E270" s="1571">
        <f>E269+D270</f>
        <v/>
      </c>
      <c r="F270" s="1571">
        <f>F269-D269</f>
        <v/>
      </c>
      <c r="G270" s="1572">
        <f>G269-D270</f>
        <v/>
      </c>
      <c r="H270" s="1639" t="n"/>
      <c r="K270" s="1578" t="n"/>
    </row>
    <row r="271" ht="39.75" customFormat="1" customHeight="1" s="1549">
      <c r="A271" s="1582" t="n"/>
      <c r="B271" s="1646" t="inlineStr">
        <is>
          <t>UPPER CONN.
3-1/2 9.2 PPF, 110KSI VAM TOP BOX
DESCRIPTION:
PCKR, SWEL,6,3-1/2,A925, OIL
P/N: 2991712
S/N: RDT-UAE-1003629
SAP: 130010039426
SUPPLIER: WFD-REACTIVE
LOWER CONN.</t>
        </is>
      </c>
      <c r="C271" s="1647" t="n">
        <v>30.88</v>
      </c>
      <c r="D271" s="1570">
        <f>C271-0.301</f>
        <v/>
      </c>
      <c r="E271" s="1571">
        <f>E270+D271</f>
        <v/>
      </c>
      <c r="F271" s="1571">
        <f>F270-D270</f>
        <v/>
      </c>
      <c r="G271" s="1572">
        <f>G270-D271</f>
        <v/>
      </c>
      <c r="H271" s="1639" t="n"/>
      <c r="K271" s="1578" t="n"/>
    </row>
    <row r="272" ht="39.75" customFormat="1" customHeight="1" s="1549">
      <c r="A272" s="1148" t="n"/>
      <c r="B272" s="1646" t="inlineStr">
        <is>
          <t>UPPER CONN . 3-1/2" TSH BLUE BOX 9.2 PPF SN 28 110 KSI
DESCRIPTION: 3 FEET XOVER
SAP: 130005011337
SUPPLIER: TENARIS
LOWER CONN. 3-1/2" VAM TOP PIN 9.2 PPF SN 28 110 KSI</t>
        </is>
      </c>
      <c r="C272" s="1647" t="n">
        <v>2.78</v>
      </c>
      <c r="D272" s="1570">
        <f>C272-0.301</f>
        <v/>
      </c>
      <c r="E272" s="1571">
        <f>E271+D272</f>
        <v/>
      </c>
      <c r="F272" s="1571">
        <f>F271-D271</f>
        <v/>
      </c>
      <c r="G272" s="1572">
        <f>G271-D272</f>
        <v/>
      </c>
      <c r="H272" s="1639" t="n"/>
      <c r="K272" s="1578" t="n"/>
    </row>
    <row r="273" ht="39.75" customFormat="1" customHeight="1" s="1549">
      <c r="A273" s="1568" t="inlineStr">
        <is>
          <t>JT.#67</t>
        </is>
      </c>
      <c r="B273" s="1568" t="inlineStr">
        <is>
          <t>3-1/2" TUBING 9.2 LB/FT ALLOY 28 TSH BL</t>
        </is>
      </c>
      <c r="C273" s="1569" t="n">
        <v>31</v>
      </c>
      <c r="D273" s="1570">
        <f>C273-0.301</f>
        <v/>
      </c>
      <c r="E273" s="1571">
        <f>E272+D273</f>
        <v/>
      </c>
      <c r="F273" s="1571">
        <f>F272-D272</f>
        <v/>
      </c>
      <c r="G273" s="1572">
        <f>G272-D273</f>
        <v/>
      </c>
      <c r="H273" s="1639" t="n"/>
      <c r="K273" s="1578" t="n"/>
    </row>
    <row r="274" ht="39.75" customFormat="1" customHeight="1" s="1549">
      <c r="A274" s="1568" t="inlineStr">
        <is>
          <t>JT.#68</t>
        </is>
      </c>
      <c r="B274" s="1568" t="inlineStr">
        <is>
          <t>3-1/2" TUBING 9.2 LB/FT ALLOY 28 TSH BL</t>
        </is>
      </c>
      <c r="C274" s="1569" t="n">
        <v>31</v>
      </c>
      <c r="D274" s="1570">
        <f>C274-0.301</f>
        <v/>
      </c>
      <c r="E274" s="1571">
        <f>E273+D274</f>
        <v/>
      </c>
      <c r="F274" s="1571">
        <f>F273-D273</f>
        <v/>
      </c>
      <c r="G274" s="1572">
        <f>G273-D274</f>
        <v/>
      </c>
      <c r="H274" s="1648" t="n"/>
      <c r="K274" s="1578" t="n"/>
    </row>
    <row r="275" ht="153" customFormat="1" customHeight="1" s="1549">
      <c r="A275" s="1568" t="inlineStr">
        <is>
          <t>JT.#69</t>
        </is>
      </c>
      <c r="B275" s="1568" t="inlineStr">
        <is>
          <t>3-1/2" TUBING 9.2 LB/FT ALLOY 28 TSH BL</t>
        </is>
      </c>
      <c r="C275" s="1569" t="n">
        <v>31</v>
      </c>
      <c r="D275" s="1615">
        <f>C275-0.301</f>
        <v/>
      </c>
      <c r="E275" s="1571">
        <f>E274+D275</f>
        <v/>
      </c>
      <c r="F275" s="1571">
        <f>F274-D274</f>
        <v/>
      </c>
      <c r="G275" s="1572">
        <f>G274-D275</f>
        <v/>
      </c>
      <c r="H275" s="1644" t="n"/>
    </row>
    <row r="276" ht="103.5" customFormat="1" customHeight="1" s="1549">
      <c r="A276" s="1568" t="inlineStr">
        <is>
          <t>JT.#70</t>
        </is>
      </c>
      <c r="B276" s="1568" t="inlineStr">
        <is>
          <t>3-1/2" TUBING 9.2 LB/FT ALLOY 28 TSH BL</t>
        </is>
      </c>
      <c r="C276" s="1569" t="n">
        <v>31</v>
      </c>
      <c r="D276" s="1615">
        <f>C276</f>
        <v/>
      </c>
      <c r="E276" s="1571">
        <f>E275+D276</f>
        <v/>
      </c>
      <c r="F276" s="1571">
        <f>F275-D275</f>
        <v/>
      </c>
      <c r="G276" s="1572">
        <f>G275-D276</f>
        <v/>
      </c>
      <c r="H276" s="1644" t="n"/>
    </row>
    <row r="277" ht="226.5" customFormat="1" customHeight="1" s="1549">
      <c r="A277" s="1568" t="inlineStr">
        <is>
          <t>JT.#71</t>
        </is>
      </c>
      <c r="B277" s="1568" t="inlineStr">
        <is>
          <t>3-1/2" TUBING 9.2 LB/FT ALLOY 28 TSH BL</t>
        </is>
      </c>
      <c r="C277" s="1569" t="n">
        <v>31</v>
      </c>
      <c r="D277" s="1619">
        <f>C277</f>
        <v/>
      </c>
      <c r="E277" s="1571">
        <f>E276+D277</f>
        <v/>
      </c>
      <c r="F277" s="1571">
        <f>F276-D276</f>
        <v/>
      </c>
      <c r="G277" s="1572">
        <f>G276-D277</f>
        <v/>
      </c>
      <c r="H277" s="1629" t="inlineStr">
        <is>
          <t>TARGET @4100'</t>
        </is>
      </c>
    </row>
    <row r="278" ht="176.25" customFormat="1" customHeight="1" s="1549">
      <c r="A278" s="1568" t="inlineStr">
        <is>
          <t>JT.#72</t>
        </is>
      </c>
      <c r="B278" s="1568" t="inlineStr">
        <is>
          <t>3-1/2" TUBING 9.2 LB/FT ALLOY 28 TSH BL</t>
        </is>
      </c>
      <c r="C278" s="1569" t="n">
        <v>31</v>
      </c>
      <c r="D278" s="1619">
        <f>C278</f>
        <v/>
      </c>
      <c r="E278" s="1571">
        <f>E277+D278</f>
        <v/>
      </c>
      <c r="F278" s="1571">
        <f>F277-D277</f>
        <v/>
      </c>
      <c r="G278" s="1572">
        <f>G277-D278</f>
        <v/>
      </c>
      <c r="H278" s="1629" t="n"/>
    </row>
    <row r="279" ht="162.75" customFormat="1" customHeight="1" s="1549">
      <c r="A279" s="1568" t="inlineStr">
        <is>
          <t>JT.#73</t>
        </is>
      </c>
      <c r="B279" s="1568" t="inlineStr">
        <is>
          <t>3-1/2" TUBING 9.2 LB/FT ALLOY 28 TSH BL</t>
        </is>
      </c>
      <c r="C279" s="1569" t="n">
        <v>31</v>
      </c>
      <c r="D279" s="1619">
        <f>C279</f>
        <v/>
      </c>
      <c r="E279" s="1571">
        <f>E278+D279</f>
        <v/>
      </c>
      <c r="F279" s="1571">
        <f>F278-D278</f>
        <v/>
      </c>
      <c r="G279" s="1572">
        <f>G278-D279</f>
        <v/>
      </c>
      <c r="H279" s="1629" t="n"/>
    </row>
    <row r="280" ht="39.75" customFormat="1" customHeight="1" s="1549">
      <c r="A280" s="1568" t="inlineStr">
        <is>
          <t>JT.#74</t>
        </is>
      </c>
      <c r="B280" s="1568" t="inlineStr">
        <is>
          <t>3-1/2" TUBING 9.2 LB/FT ALLOY 28 TSH BL</t>
        </is>
      </c>
      <c r="C280" s="1569" t="n">
        <v>31</v>
      </c>
      <c r="D280" s="1570">
        <f>C280-0.301</f>
        <v/>
      </c>
      <c r="E280" s="1571">
        <f>E279+D280</f>
        <v/>
      </c>
      <c r="F280" s="1571">
        <f>F279-D279</f>
        <v/>
      </c>
      <c r="G280" s="1572">
        <f>G279-D280</f>
        <v/>
      </c>
      <c r="H280" s="1593" t="inlineStr">
        <is>
          <t>.</t>
        </is>
      </c>
      <c r="K280" s="1578" t="n"/>
    </row>
    <row r="281" ht="39.75" customFormat="1" customHeight="1" s="1549">
      <c r="A281" s="1568" t="inlineStr">
        <is>
          <t>JT.#75</t>
        </is>
      </c>
      <c r="B281" s="1568" t="inlineStr">
        <is>
          <t>3-1/2" TUBING 9.2 LB/FT ALLOY 28 TSH BL</t>
        </is>
      </c>
      <c r="C281" s="1569" t="n">
        <v>31</v>
      </c>
      <c r="D281" s="1570">
        <f>C281-0.301</f>
        <v/>
      </c>
      <c r="E281" s="1571">
        <f>E280+D281</f>
        <v/>
      </c>
      <c r="F281" s="1571">
        <f>F280-D280</f>
        <v/>
      </c>
      <c r="G281" s="1572">
        <f>G280-D281</f>
        <v/>
      </c>
      <c r="K281" s="1578" t="n"/>
    </row>
    <row r="282" ht="39.75" customFormat="1" customHeight="1" s="1549">
      <c r="A282" s="1568" t="inlineStr">
        <is>
          <t>JT.#76</t>
        </is>
      </c>
      <c r="B282" s="1568" t="inlineStr">
        <is>
          <t>3-1/2" TUBING 9.2 LB/FT ALLOY 28 TSH BL</t>
        </is>
      </c>
      <c r="C282" s="1569" t="n">
        <v>31</v>
      </c>
      <c r="D282" s="1570">
        <f>C282-0.301</f>
        <v/>
      </c>
      <c r="E282" s="1571">
        <f>E281+D282</f>
        <v/>
      </c>
      <c r="F282" s="1571">
        <f>F281-D281</f>
        <v/>
      </c>
      <c r="G282" s="1572">
        <f>G281-D282</f>
        <v/>
      </c>
      <c r="H282" s="1594" t="inlineStr">
        <is>
          <t xml:space="preserve">FILL UP STRING </t>
        </is>
      </c>
      <c r="K282" s="1578" t="n"/>
    </row>
    <row r="283" ht="39.75" customFormat="1" customHeight="1" s="1549">
      <c r="A283" s="1568" t="inlineStr">
        <is>
          <t>JT.#77</t>
        </is>
      </c>
      <c r="B283" s="1568" t="inlineStr">
        <is>
          <t>3-1/2" TUBING 9.2 LB/FT ALLOY 28 TSH BL</t>
        </is>
      </c>
      <c r="C283" s="1569" t="n">
        <v>31</v>
      </c>
      <c r="D283" s="1570">
        <f>C283-0.301</f>
        <v/>
      </c>
      <c r="E283" s="1571">
        <f>E282+D283</f>
        <v/>
      </c>
      <c r="F283" s="1571">
        <f>F282-D282</f>
        <v/>
      </c>
      <c r="G283" s="1572">
        <f>G282-D283</f>
        <v/>
      </c>
      <c r="K283" s="1578" t="n"/>
    </row>
    <row r="284" ht="39.75" customFormat="1" customHeight="1" s="1549">
      <c r="A284" s="1568" t="inlineStr">
        <is>
          <t>JT.#78</t>
        </is>
      </c>
      <c r="B284" s="1568" t="inlineStr">
        <is>
          <t>3-1/2" TUBING 9.2 LB/FT ALLOY 28 TSH BL</t>
        </is>
      </c>
      <c r="C284" s="1569" t="n">
        <v>31</v>
      </c>
      <c r="D284" s="1570">
        <f>C284-0.301</f>
        <v/>
      </c>
      <c r="E284" s="1571">
        <f>E283+D284</f>
        <v/>
      </c>
      <c r="F284" s="1571">
        <f>F283-D283</f>
        <v/>
      </c>
      <c r="G284" s="1572">
        <f>G283-D284</f>
        <v/>
      </c>
      <c r="H284" s="1639" t="n"/>
      <c r="K284" s="1578" t="n"/>
    </row>
    <row r="285" ht="39.75" customFormat="1" customHeight="1" s="1549">
      <c r="A285" s="1568" t="inlineStr">
        <is>
          <t>JT.#79</t>
        </is>
      </c>
      <c r="B285" s="1568" t="inlineStr">
        <is>
          <t>3-1/2" TUBING 9.2 LB/FT ALLOY 28 TSH BL</t>
        </is>
      </c>
      <c r="C285" s="1569" t="n">
        <v>31</v>
      </c>
      <c r="D285" s="1570">
        <f>C285-0.301</f>
        <v/>
      </c>
      <c r="E285" s="1571">
        <f>E284+D285</f>
        <v/>
      </c>
      <c r="F285" s="1571">
        <f>F284-D284</f>
        <v/>
      </c>
      <c r="G285" s="1572">
        <f>G284-D285</f>
        <v/>
      </c>
      <c r="H285" s="1639" t="n"/>
      <c r="K285" s="1578" t="n"/>
    </row>
    <row r="286" ht="39.75" customFormat="1" customHeight="1" s="1549">
      <c r="A286" s="1568" t="inlineStr">
        <is>
          <t>JT.#80</t>
        </is>
      </c>
      <c r="B286" s="1568" t="inlineStr">
        <is>
          <t>3-1/2" TUBING 9.2 LB/FT ALLOY 28 TSH BL</t>
        </is>
      </c>
      <c r="C286" s="1569" t="n">
        <v>31</v>
      </c>
      <c r="D286" s="1570">
        <f>C286-0.301</f>
        <v/>
      </c>
      <c r="E286" s="1571">
        <f>E285+D286</f>
        <v/>
      </c>
      <c r="F286" s="1571">
        <f>F285-D285</f>
        <v/>
      </c>
      <c r="G286" s="1572">
        <f>G285-D286</f>
        <v/>
      </c>
      <c r="H286" s="1639" t="n"/>
      <c r="K286" s="1578" t="n"/>
    </row>
    <row r="287" ht="39.75" customFormat="1" customHeight="1" s="1549">
      <c r="A287" s="1568" t="inlineStr">
        <is>
          <t>JT.#81</t>
        </is>
      </c>
      <c r="B287" s="1568" t="inlineStr">
        <is>
          <t>3-1/2" TUBING 9.2 LB/FT ALLOY 28 TSH BL</t>
        </is>
      </c>
      <c r="C287" s="1569" t="n">
        <v>31</v>
      </c>
      <c r="D287" s="1570">
        <f>C287-0.301</f>
        <v/>
      </c>
      <c r="E287" s="1571">
        <f>E286+D287</f>
        <v/>
      </c>
      <c r="F287" s="1571">
        <f>F286-D286</f>
        <v/>
      </c>
      <c r="G287" s="1572">
        <f>G286-D287</f>
        <v/>
      </c>
      <c r="H287" s="1639" t="n"/>
      <c r="K287" s="1578" t="n"/>
    </row>
    <row r="288" ht="39.75" customFormat="1" customHeight="1" s="1549">
      <c r="A288" s="1568" t="inlineStr">
        <is>
          <t>JT.#82</t>
        </is>
      </c>
      <c r="B288" s="1568" t="inlineStr">
        <is>
          <t>3-1/2" TUBING 9.2 LB/FT ALLOY 28 TSH BL</t>
        </is>
      </c>
      <c r="C288" s="1569" t="n">
        <v>31</v>
      </c>
      <c r="D288" s="1570">
        <f>C288-0.301</f>
        <v/>
      </c>
      <c r="E288" s="1571">
        <f>E287+D288</f>
        <v/>
      </c>
      <c r="F288" s="1571">
        <f>F287-D287</f>
        <v/>
      </c>
      <c r="G288" s="1572">
        <f>G287-D288</f>
        <v/>
      </c>
      <c r="H288" s="1639" t="n"/>
      <c r="K288" s="1578" t="n"/>
    </row>
    <row r="289" ht="39.75" customFormat="1" customHeight="1" s="1549">
      <c r="A289" s="1568" t="inlineStr">
        <is>
          <t>JT.#83</t>
        </is>
      </c>
      <c r="B289" s="1568" t="inlineStr">
        <is>
          <t>3-1/2" TUBING 9.2 LB/FT ALLOY 28 TSH BL</t>
        </is>
      </c>
      <c r="C289" s="1569" t="n">
        <v>31</v>
      </c>
      <c r="D289" s="1570">
        <f>C289-0.301</f>
        <v/>
      </c>
      <c r="E289" s="1571">
        <f>E288+D289</f>
        <v/>
      </c>
      <c r="F289" s="1571">
        <f>F288-D288</f>
        <v/>
      </c>
      <c r="G289" s="1572">
        <f>G288-D289</f>
        <v/>
      </c>
      <c r="H289" s="1639" t="n"/>
      <c r="K289" s="1578" t="n"/>
    </row>
    <row r="290" ht="39.75" customFormat="1" customHeight="1" s="1549">
      <c r="A290" s="1568" t="inlineStr">
        <is>
          <t>JT.#84</t>
        </is>
      </c>
      <c r="B290" s="1568" t="inlineStr">
        <is>
          <t>3-1/2" TUBING 9.2 LB/FT ALLOY 28 TSH BL</t>
        </is>
      </c>
      <c r="C290" s="1569" t="n">
        <v>31</v>
      </c>
      <c r="D290" s="1570">
        <f>C290-0.301</f>
        <v/>
      </c>
      <c r="E290" s="1571">
        <f>E289+D290</f>
        <v/>
      </c>
      <c r="F290" s="1571">
        <f>F289-D289</f>
        <v/>
      </c>
      <c r="G290" s="1572">
        <f>G289-D290</f>
        <v/>
      </c>
      <c r="H290" s="1593" t="inlineStr">
        <is>
          <t>.</t>
        </is>
      </c>
      <c r="K290" s="1578" t="n"/>
    </row>
    <row r="291" ht="39.75" customFormat="1" customHeight="1" s="1549">
      <c r="A291" s="1568" t="inlineStr">
        <is>
          <t>JT.#85</t>
        </is>
      </c>
      <c r="B291" s="1568" t="inlineStr">
        <is>
          <t>3-1/2" TUBING 9.2 LB/FT ALLOY 28 TSH BL</t>
        </is>
      </c>
      <c r="C291" s="1569" t="n">
        <v>31</v>
      </c>
      <c r="D291" s="1570">
        <f>C291-0.301</f>
        <v/>
      </c>
      <c r="E291" s="1571">
        <f>E290+D291</f>
        <v/>
      </c>
      <c r="F291" s="1571">
        <f>F290-D290</f>
        <v/>
      </c>
      <c r="G291" s="1572">
        <f>G290-D291</f>
        <v/>
      </c>
      <c r="K291" s="1578" t="n"/>
    </row>
    <row r="292" ht="39.75" customFormat="1" customHeight="1" s="1549">
      <c r="A292" s="1568" t="inlineStr">
        <is>
          <t>JT.#86</t>
        </is>
      </c>
      <c r="B292" s="1568" t="inlineStr">
        <is>
          <t>3-1/2" TUBING 9.2 LB/FT ALLOY 28 TSH BL</t>
        </is>
      </c>
      <c r="C292" s="1569" t="n">
        <v>31</v>
      </c>
      <c r="D292" s="1570">
        <f>C292-0.301</f>
        <v/>
      </c>
      <c r="E292" s="1571">
        <f>E291+D292</f>
        <v/>
      </c>
      <c r="F292" s="1571">
        <f>F291-D291</f>
        <v/>
      </c>
      <c r="G292" s="1572">
        <f>G291-D292</f>
        <v/>
      </c>
      <c r="H292" s="1594" t="inlineStr">
        <is>
          <t xml:space="preserve">FILL UP STRING </t>
        </is>
      </c>
      <c r="K292" s="1578" t="n"/>
    </row>
    <row r="293" ht="39.75" customFormat="1" customHeight="1" s="1549">
      <c r="A293" s="1568" t="inlineStr">
        <is>
          <t>JT.#87</t>
        </is>
      </c>
      <c r="B293" s="1568" t="inlineStr">
        <is>
          <t>3-1/2" TUBING 9.2 LB/FT ALLOY 28 TSH BL</t>
        </is>
      </c>
      <c r="C293" s="1569" t="n">
        <v>31</v>
      </c>
      <c r="D293" s="1570">
        <f>C293-0.301</f>
        <v/>
      </c>
      <c r="E293" s="1571">
        <f>E292+D293</f>
        <v/>
      </c>
      <c r="F293" s="1571">
        <f>F292-D292</f>
        <v/>
      </c>
      <c r="G293" s="1572">
        <f>G292-D293</f>
        <v/>
      </c>
      <c r="K293" s="1578" t="n"/>
    </row>
    <row r="294" ht="39.75" customFormat="1" customHeight="1" s="1549">
      <c r="A294" s="1568" t="inlineStr">
        <is>
          <t>JT.#88</t>
        </is>
      </c>
      <c r="B294" s="1568" t="inlineStr">
        <is>
          <t>3-1/2" TUBING 9.2 LB/FT ALLOY 28 TSH BL</t>
        </is>
      </c>
      <c r="C294" s="1569" t="n">
        <v>31</v>
      </c>
      <c r="D294" s="1570">
        <f>C294-0.301</f>
        <v/>
      </c>
      <c r="E294" s="1571">
        <f>E293+D294</f>
        <v/>
      </c>
      <c r="F294" s="1571">
        <f>F293-D293</f>
        <v/>
      </c>
      <c r="G294" s="1572">
        <f>G293-D294</f>
        <v/>
      </c>
      <c r="H294" s="1639" t="n"/>
      <c r="K294" s="1578" t="n"/>
    </row>
    <row r="295" ht="39.75" customFormat="1" customHeight="1" s="1549">
      <c r="A295" s="1568" t="inlineStr">
        <is>
          <t>JT.#89</t>
        </is>
      </c>
      <c r="B295" s="1568" t="inlineStr">
        <is>
          <t>3-1/2" TUBING 9.2 LB/FT ALLOY 28 TSH BL</t>
        </is>
      </c>
      <c r="C295" s="1569" t="n">
        <v>31</v>
      </c>
      <c r="D295" s="1570">
        <f>C295-0.301</f>
        <v/>
      </c>
      <c r="E295" s="1571">
        <f>E294+D295</f>
        <v/>
      </c>
      <c r="F295" s="1571">
        <f>F294-D294</f>
        <v/>
      </c>
      <c r="G295" s="1572">
        <f>G294-D295</f>
        <v/>
      </c>
      <c r="H295" s="1639" t="n"/>
      <c r="K295" s="1578" t="n"/>
    </row>
    <row r="296" ht="39.75" customFormat="1" customHeight="1" s="1549">
      <c r="A296" s="1568" t="inlineStr">
        <is>
          <t>JT.#90</t>
        </is>
      </c>
      <c r="B296" s="1568" t="inlineStr">
        <is>
          <t>3-1/2" TUBING 9.2 LB/FT ALLOY 28 TSH BL</t>
        </is>
      </c>
      <c r="C296" s="1569" t="n">
        <v>31</v>
      </c>
      <c r="D296" s="1570">
        <f>C296-0.301</f>
        <v/>
      </c>
      <c r="E296" s="1571">
        <f>E295+D296</f>
        <v/>
      </c>
      <c r="F296" s="1571">
        <f>F295-D295</f>
        <v/>
      </c>
      <c r="G296" s="1572">
        <f>G295-D296</f>
        <v/>
      </c>
      <c r="H296" s="1639" t="n"/>
      <c r="K296" s="1578" t="n"/>
    </row>
    <row r="297" ht="39.75" customFormat="1" customHeight="1" s="1549">
      <c r="A297" s="1568" t="inlineStr">
        <is>
          <t>JT.#91</t>
        </is>
      </c>
      <c r="B297" s="1568" t="inlineStr">
        <is>
          <t>3-1/2" TUBING 9.2 LB/FT ALLOY 28 TSH BL</t>
        </is>
      </c>
      <c r="C297" s="1569" t="n">
        <v>31</v>
      </c>
      <c r="D297" s="1570">
        <f>C297-0.301</f>
        <v/>
      </c>
      <c r="E297" s="1571">
        <f>E296+D297</f>
        <v/>
      </c>
      <c r="F297" s="1571">
        <f>F296-D296</f>
        <v/>
      </c>
      <c r="G297" s="1572">
        <f>G296-D297</f>
        <v/>
      </c>
      <c r="H297" s="1639" t="n"/>
      <c r="K297" s="1578" t="n"/>
    </row>
    <row r="298" ht="39.75" customFormat="1" customHeight="1" s="1549">
      <c r="A298" s="1568" t="inlineStr">
        <is>
          <t>JT.#92</t>
        </is>
      </c>
      <c r="B298" s="1568" t="inlineStr">
        <is>
          <t>3-1/2" TUBING 9.2 LB/FT ALLOY 28 TSH BL</t>
        </is>
      </c>
      <c r="C298" s="1569" t="n">
        <v>31</v>
      </c>
      <c r="D298" s="1570">
        <f>C298-0.301</f>
        <v/>
      </c>
      <c r="E298" s="1571">
        <f>E297+D298</f>
        <v/>
      </c>
      <c r="F298" s="1571">
        <f>F297-D297</f>
        <v/>
      </c>
      <c r="G298" s="1572">
        <f>G297-D298</f>
        <v/>
      </c>
      <c r="H298" s="1639" t="n"/>
      <c r="K298" s="1578" t="n"/>
    </row>
    <row r="299" ht="39.75" customFormat="1" customHeight="1" s="1549">
      <c r="A299" s="1568" t="inlineStr">
        <is>
          <t>JT.#93</t>
        </is>
      </c>
      <c r="B299" s="1568" t="inlineStr">
        <is>
          <t>3-1/2" TUBING 9.2 LB/FT ALLOY 28 TSH BL</t>
        </is>
      </c>
      <c r="C299" s="1569" t="n">
        <v>31</v>
      </c>
      <c r="D299" s="1570">
        <f>C299-0.301</f>
        <v/>
      </c>
      <c r="E299" s="1571">
        <f>E298+D299</f>
        <v/>
      </c>
      <c r="F299" s="1571">
        <f>F298-D298</f>
        <v/>
      </c>
      <c r="G299" s="1572">
        <f>G298-D299</f>
        <v/>
      </c>
      <c r="H299" s="1639" t="n"/>
      <c r="K299" s="1578" t="n"/>
    </row>
    <row r="300" ht="39.75" customFormat="1" customHeight="1" s="1549">
      <c r="A300" s="1568" t="inlineStr">
        <is>
          <t>JT.#94</t>
        </is>
      </c>
      <c r="B300" s="1568" t="inlineStr">
        <is>
          <t>3-1/2" TUBING 9.2 LB/FT ALLOY 28 TSH BL</t>
        </is>
      </c>
      <c r="C300" s="1569" t="n">
        <v>31</v>
      </c>
      <c r="D300" s="1570">
        <f>C300-0.301</f>
        <v/>
      </c>
      <c r="E300" s="1571">
        <f>E299+D300</f>
        <v/>
      </c>
      <c r="F300" s="1571">
        <f>F299-D299</f>
        <v/>
      </c>
      <c r="G300" s="1572">
        <f>G299-D300</f>
        <v/>
      </c>
      <c r="H300" s="1593" t="inlineStr">
        <is>
          <t>.</t>
        </is>
      </c>
      <c r="K300" s="1578" t="n"/>
    </row>
    <row r="301" ht="39.75" customFormat="1" customHeight="1" s="1549">
      <c r="A301" s="1568" t="inlineStr">
        <is>
          <t>JT.#95</t>
        </is>
      </c>
      <c r="B301" s="1568" t="inlineStr">
        <is>
          <t>3-1/2" TUBING 9.2 LB/FT ALLOY 28 TSH BL</t>
        </is>
      </c>
      <c r="C301" s="1569" t="n">
        <v>31</v>
      </c>
      <c r="D301" s="1570">
        <f>C301-0.301</f>
        <v/>
      </c>
      <c r="E301" s="1571">
        <f>E300+D301</f>
        <v/>
      </c>
      <c r="F301" s="1571">
        <f>F300-D300</f>
        <v/>
      </c>
      <c r="G301" s="1572">
        <f>G300-D301</f>
        <v/>
      </c>
      <c r="H301" s="1639" t="n"/>
      <c r="K301" s="1578" t="n"/>
    </row>
    <row r="302" ht="39.75" customFormat="1" customHeight="1" s="1549">
      <c r="A302" s="1568" t="inlineStr">
        <is>
          <t>JT.#96</t>
        </is>
      </c>
      <c r="B302" s="1568" t="inlineStr">
        <is>
          <t>3-1/2" TUBING 9.2 LB/FT ALLOY 28 TSH BL</t>
        </is>
      </c>
      <c r="C302" s="1569" t="n">
        <v>31</v>
      </c>
      <c r="D302" s="1570">
        <f>C302-0.301</f>
        <v/>
      </c>
      <c r="E302" s="1571">
        <f>E301+D302</f>
        <v/>
      </c>
      <c r="F302" s="1571">
        <f>F301-D301</f>
        <v/>
      </c>
      <c r="G302" s="1572">
        <f>G301-D302</f>
        <v/>
      </c>
      <c r="H302" s="1594" t="inlineStr">
        <is>
          <t xml:space="preserve">FILL UP STRING </t>
        </is>
      </c>
      <c r="K302" s="1578" t="n"/>
    </row>
    <row r="303" ht="39.75" customFormat="1" customHeight="1" s="1549">
      <c r="A303" s="1568" t="inlineStr">
        <is>
          <t>JT.#97</t>
        </is>
      </c>
      <c r="B303" s="1568" t="inlineStr">
        <is>
          <t>3-1/2" TUBING 9.2 LB/FT ALLOY 28 TSH BL</t>
        </is>
      </c>
      <c r="C303" s="1569" t="n">
        <v>31</v>
      </c>
      <c r="D303" s="1570">
        <f>C303-0.301</f>
        <v/>
      </c>
      <c r="E303" s="1571">
        <f>E302+D303</f>
        <v/>
      </c>
      <c r="F303" s="1571">
        <f>F302-D302</f>
        <v/>
      </c>
      <c r="G303" s="1572">
        <f>G302-D303</f>
        <v/>
      </c>
      <c r="K303" s="1578" t="n"/>
    </row>
    <row r="304" ht="39.75" customFormat="1" customHeight="1" s="1549">
      <c r="A304" s="1568" t="inlineStr">
        <is>
          <t>JT.#98</t>
        </is>
      </c>
      <c r="B304" s="1568" t="inlineStr">
        <is>
          <t>3-1/2" TUBING 9.2 LB/FT ALLOY 28 TSH BL</t>
        </is>
      </c>
      <c r="C304" s="1569" t="n">
        <v>31</v>
      </c>
      <c r="D304" s="1570">
        <f>C304-0.301</f>
        <v/>
      </c>
      <c r="E304" s="1571">
        <f>E303+D304</f>
        <v/>
      </c>
      <c r="F304" s="1571">
        <f>F303-D303</f>
        <v/>
      </c>
      <c r="G304" s="1572">
        <f>G303-D304</f>
        <v/>
      </c>
      <c r="H304" s="1639" t="n"/>
      <c r="K304" s="1578" t="n"/>
    </row>
    <row r="305" ht="39.75" customFormat="1" customHeight="1" s="1549">
      <c r="A305" s="1568" t="inlineStr">
        <is>
          <t>JT.#99</t>
        </is>
      </c>
      <c r="B305" s="1568" t="inlineStr">
        <is>
          <t>3-1/2" TUBING 9.2 LB/FT ALLOY 28 TSH BL</t>
        </is>
      </c>
      <c r="C305" s="1569" t="n">
        <v>31</v>
      </c>
      <c r="D305" s="1570">
        <f>C305-0.301</f>
        <v/>
      </c>
      <c r="E305" s="1571">
        <f>E304+D305</f>
        <v/>
      </c>
      <c r="F305" s="1571">
        <f>F304-D304</f>
        <v/>
      </c>
      <c r="G305" s="1572">
        <f>G304-D305</f>
        <v/>
      </c>
      <c r="H305" s="1639" t="n"/>
      <c r="K305" s="1578" t="n"/>
    </row>
    <row r="306" ht="39.75" customFormat="1" customHeight="1" s="1549">
      <c r="A306" s="1568" t="inlineStr">
        <is>
          <t>JT.#100</t>
        </is>
      </c>
      <c r="B306" s="1568" t="inlineStr">
        <is>
          <t>3-1/2" TUBING 9.2 LB/FT ALLOY 28 TSH BL</t>
        </is>
      </c>
      <c r="C306" s="1569" t="n">
        <v>31</v>
      </c>
      <c r="D306" s="1570">
        <f>C306-0.301</f>
        <v/>
      </c>
      <c r="E306" s="1571">
        <f>E305+D306</f>
        <v/>
      </c>
      <c r="F306" s="1571">
        <f>F305-D305</f>
        <v/>
      </c>
      <c r="G306" s="1572">
        <f>G305-D306</f>
        <v/>
      </c>
      <c r="H306" s="1639" t="n"/>
      <c r="K306" s="1578" t="n"/>
    </row>
    <row r="307" ht="39.75" customFormat="1" customHeight="1" s="1549">
      <c r="A307" s="1568" t="inlineStr">
        <is>
          <t>JT.#101</t>
        </is>
      </c>
      <c r="B307" s="1568" t="inlineStr">
        <is>
          <t>3-1/2" TUBING 9.2 LB/FT ALLOY 28 TSH BL</t>
        </is>
      </c>
      <c r="C307" s="1569" t="n">
        <v>31</v>
      </c>
      <c r="D307" s="1570">
        <f>C307-0.301</f>
        <v/>
      </c>
      <c r="E307" s="1571">
        <f>E306+D307</f>
        <v/>
      </c>
      <c r="F307" s="1571">
        <f>F306-D306</f>
        <v/>
      </c>
      <c r="G307" s="1572">
        <f>G306-D307</f>
        <v/>
      </c>
      <c r="H307" s="1639" t="n"/>
      <c r="K307" s="1578" t="n"/>
    </row>
    <row r="308" ht="39.75" customFormat="1" customHeight="1" s="1549">
      <c r="A308" s="1568" t="inlineStr">
        <is>
          <t>JT.#102</t>
        </is>
      </c>
      <c r="B308" s="1568" t="inlineStr">
        <is>
          <t>3-1/2" TUBING 9.2 LB/FT ALLOY 28 TSH BL</t>
        </is>
      </c>
      <c r="C308" s="1569" t="n">
        <v>31</v>
      </c>
      <c r="D308" s="1570">
        <f>C308-0.301</f>
        <v/>
      </c>
      <c r="E308" s="1571">
        <f>E307+D308</f>
        <v/>
      </c>
      <c r="F308" s="1571">
        <f>F307-D307</f>
        <v/>
      </c>
      <c r="G308" s="1572">
        <f>G307-D308</f>
        <v/>
      </c>
      <c r="H308" s="1639" t="n"/>
      <c r="K308" s="1578" t="n"/>
    </row>
    <row r="309" ht="39.75" customFormat="1" customHeight="1" s="1549">
      <c r="A309" s="1568" t="inlineStr">
        <is>
          <t>JT.#103</t>
        </is>
      </c>
      <c r="B309" s="1568" t="inlineStr">
        <is>
          <t>3-1/2" TUBING 9.2 LB/FT ALLOY 28 TSH BL</t>
        </is>
      </c>
      <c r="C309" s="1569" t="n">
        <v>31</v>
      </c>
      <c r="D309" s="1570">
        <f>C309-0.301</f>
        <v/>
      </c>
      <c r="E309" s="1571">
        <f>E308+D309</f>
        <v/>
      </c>
      <c r="F309" s="1571">
        <f>F308-D308</f>
        <v/>
      </c>
      <c r="G309" s="1572">
        <f>G308-D309</f>
        <v/>
      </c>
      <c r="H309" s="1639" t="n"/>
      <c r="K309" s="1578" t="n"/>
    </row>
    <row r="310" ht="39.75" customFormat="1" customHeight="1" s="1549">
      <c r="A310" s="1568" t="inlineStr">
        <is>
          <t>JT.#104</t>
        </is>
      </c>
      <c r="B310" s="1568" t="inlineStr">
        <is>
          <t>3-1/2" TUBING 9.2 LB/FT ALLOY 28 TSH BL</t>
        </is>
      </c>
      <c r="C310" s="1569" t="n">
        <v>31</v>
      </c>
      <c r="D310" s="1570">
        <f>C310-0.301</f>
        <v/>
      </c>
      <c r="E310" s="1571">
        <f>E309+D310</f>
        <v/>
      </c>
      <c r="F310" s="1571">
        <f>F309-D309</f>
        <v/>
      </c>
      <c r="G310" s="1572">
        <f>G309-D310</f>
        <v/>
      </c>
      <c r="H310" s="1593" t="inlineStr">
        <is>
          <t>.</t>
        </is>
      </c>
      <c r="K310" s="1578" t="n"/>
    </row>
    <row r="311" ht="39.75" customFormat="1" customHeight="1" s="1549">
      <c r="A311" s="1568" t="inlineStr">
        <is>
          <t>JT.#105</t>
        </is>
      </c>
      <c r="B311" s="1568" t="inlineStr">
        <is>
          <t>3-1/2" TUBING 9.2 LB/FT ALLOY 28 TSH BL</t>
        </is>
      </c>
      <c r="C311" s="1569" t="n">
        <v>31</v>
      </c>
      <c r="D311" s="1570">
        <f>C311-0.301</f>
        <v/>
      </c>
      <c r="E311" s="1571">
        <f>E310+D311</f>
        <v/>
      </c>
      <c r="F311" s="1571">
        <f>F310-D310</f>
        <v/>
      </c>
      <c r="G311" s="1572">
        <f>G310-D311</f>
        <v/>
      </c>
      <c r="H311" s="1639" t="n"/>
      <c r="K311" s="1578" t="n"/>
    </row>
    <row r="312" ht="39.75" customFormat="1" customHeight="1" s="1549">
      <c r="A312" s="1568" t="inlineStr">
        <is>
          <t>JT.#106</t>
        </is>
      </c>
      <c r="B312" s="1568" t="inlineStr">
        <is>
          <t>3-1/2" TUBING 9.2 LB/FT ALLOY 28 TSH BL</t>
        </is>
      </c>
      <c r="C312" s="1569" t="n">
        <v>31</v>
      </c>
      <c r="D312" s="1570">
        <f>C312-0.301</f>
        <v/>
      </c>
      <c r="E312" s="1571">
        <f>E311+D312</f>
        <v/>
      </c>
      <c r="F312" s="1571">
        <f>F311-D311</f>
        <v/>
      </c>
      <c r="G312" s="1572">
        <f>G311-D312</f>
        <v/>
      </c>
      <c r="H312" s="1594" t="inlineStr">
        <is>
          <t xml:space="preserve">FILL UP STRING </t>
        </is>
      </c>
      <c r="K312" s="1578" t="n"/>
    </row>
    <row r="313" ht="39.75" customFormat="1" customHeight="1" s="1549">
      <c r="A313" s="1568" t="inlineStr">
        <is>
          <t>JT.#107</t>
        </is>
      </c>
      <c r="B313" s="1568" t="inlineStr">
        <is>
          <t>3-1/2" TUBING 9.2 LB/FT ALLOY 28 TSH BL</t>
        </is>
      </c>
      <c r="C313" s="1569" t="n">
        <v>31</v>
      </c>
      <c r="D313" s="1570">
        <f>C313-0.301</f>
        <v/>
      </c>
      <c r="E313" s="1571">
        <f>E312+D313</f>
        <v/>
      </c>
      <c r="F313" s="1571">
        <f>F312-D312</f>
        <v/>
      </c>
      <c r="G313" s="1572">
        <f>G312-D313</f>
        <v/>
      </c>
      <c r="H313" s="1639" t="n"/>
      <c r="K313" s="1578" t="n"/>
    </row>
    <row r="314" ht="39.75" customFormat="1" customHeight="1" s="1549">
      <c r="A314" s="1568" t="inlineStr">
        <is>
          <t>JT.#108</t>
        </is>
      </c>
      <c r="B314" s="1568" t="inlineStr">
        <is>
          <t>3-1/2" TUBING 9.2 LB/FT ALLOY 28 TSH BL</t>
        </is>
      </c>
      <c r="C314" s="1569" t="n">
        <v>31</v>
      </c>
      <c r="D314" s="1570">
        <f>C314-0.301</f>
        <v/>
      </c>
      <c r="E314" s="1571">
        <f>E313+D314</f>
        <v/>
      </c>
      <c r="F314" s="1571">
        <f>F313-D313</f>
        <v/>
      </c>
      <c r="G314" s="1572">
        <f>G313-D314</f>
        <v/>
      </c>
      <c r="H314" s="1639" t="n"/>
      <c r="K314" s="1578" t="n"/>
    </row>
    <row r="315" ht="39.75" customFormat="1" customHeight="1" s="1549">
      <c r="A315" s="1568" t="inlineStr">
        <is>
          <t>JT.#109</t>
        </is>
      </c>
      <c r="B315" s="1568" t="inlineStr">
        <is>
          <t>3-1/2" TUBING 9.2 LB/FT ALLOY 28 TSH BL</t>
        </is>
      </c>
      <c r="C315" s="1569" t="n">
        <v>31</v>
      </c>
      <c r="D315" s="1570">
        <f>C315-0.301</f>
        <v/>
      </c>
      <c r="E315" s="1571">
        <f>E314+D315</f>
        <v/>
      </c>
      <c r="F315" s="1571">
        <f>F314-D314</f>
        <v/>
      </c>
      <c r="G315" s="1572">
        <f>G314-D315</f>
        <v/>
      </c>
      <c r="H315" s="1639" t="n"/>
      <c r="K315" s="1578" t="n"/>
    </row>
    <row r="316" ht="39.75" customFormat="1" customHeight="1" s="1549">
      <c r="A316" s="1568" t="inlineStr">
        <is>
          <t>JT.#110</t>
        </is>
      </c>
      <c r="B316" s="1568" t="inlineStr">
        <is>
          <t>3-1/2" TUBING 9.2 LB/FT ALLOY 28 TSH BL</t>
        </is>
      </c>
      <c r="C316" s="1569" t="n">
        <v>31</v>
      </c>
      <c r="D316" s="1570">
        <f>C316-0.301</f>
        <v/>
      </c>
      <c r="E316" s="1571">
        <f>E315+D316</f>
        <v/>
      </c>
      <c r="F316" s="1571">
        <f>F315-D315</f>
        <v/>
      </c>
      <c r="G316" s="1572">
        <f>G315-D316</f>
        <v/>
      </c>
      <c r="H316" s="1639" t="n"/>
      <c r="K316" s="1578" t="n"/>
    </row>
    <row r="317" ht="39.75" customFormat="1" customHeight="1" s="1549">
      <c r="A317" s="1568" t="inlineStr">
        <is>
          <t>JT.#111</t>
        </is>
      </c>
      <c r="B317" s="1568" t="inlineStr">
        <is>
          <t>3-1/2" TUBING 9.2 LB/FT ALLOY 28 TSH BL</t>
        </is>
      </c>
      <c r="C317" s="1569" t="n">
        <v>31</v>
      </c>
      <c r="D317" s="1570">
        <f>C317-0.301</f>
        <v/>
      </c>
      <c r="E317" s="1571">
        <f>E316+D317</f>
        <v/>
      </c>
      <c r="F317" s="1571">
        <f>F316-D316</f>
        <v/>
      </c>
      <c r="G317" s="1572">
        <f>G316-D317</f>
        <v/>
      </c>
      <c r="H317" s="1639" t="n"/>
      <c r="K317" s="1578" t="n"/>
    </row>
    <row r="318" ht="39.75" customFormat="1" customHeight="1" s="1549">
      <c r="A318" s="1568" t="inlineStr">
        <is>
          <t>JT.#112</t>
        </is>
      </c>
      <c r="B318" s="1568" t="inlineStr">
        <is>
          <t>3-1/2" TUBING 9.2 LB/FT ALLOY 28 TSH BL</t>
        </is>
      </c>
      <c r="C318" s="1569" t="n">
        <v>31</v>
      </c>
      <c r="D318" s="1570">
        <f>C318-0.301</f>
        <v/>
      </c>
      <c r="E318" s="1571">
        <f>E317+D318</f>
        <v/>
      </c>
      <c r="F318" s="1571">
        <f>F317-D317</f>
        <v/>
      </c>
      <c r="G318" s="1572">
        <f>G317-D318</f>
        <v/>
      </c>
      <c r="H318" s="1639" t="n"/>
      <c r="K318" s="1578" t="n"/>
    </row>
    <row r="319" ht="39.75" customFormat="1" customHeight="1" s="1549">
      <c r="A319" s="1568" t="inlineStr">
        <is>
          <t>JT.#113</t>
        </is>
      </c>
      <c r="B319" s="1568" t="inlineStr">
        <is>
          <t>3-1/2" TUBING 9.2 LB/FT ALLOY 28 TSH BL</t>
        </is>
      </c>
      <c r="C319" s="1569" t="n">
        <v>31</v>
      </c>
      <c r="D319" s="1570">
        <f>C319-0.301</f>
        <v/>
      </c>
      <c r="E319" s="1571">
        <f>E318+D319</f>
        <v/>
      </c>
      <c r="F319" s="1571">
        <f>F318-D318</f>
        <v/>
      </c>
      <c r="G319" s="1572">
        <f>G318-D319</f>
        <v/>
      </c>
      <c r="H319" s="1639" t="n"/>
      <c r="K319" s="1578" t="n"/>
    </row>
    <row r="320" ht="39.75" customFormat="1" customHeight="1" s="1549">
      <c r="A320" s="1568" t="inlineStr">
        <is>
          <t>JT.#114</t>
        </is>
      </c>
      <c r="B320" s="1568" t="inlineStr">
        <is>
          <t>3-1/2" TUBING 9.2 LB/FT ALLOY 28 TSH BL</t>
        </is>
      </c>
      <c r="C320" s="1569" t="n">
        <v>31</v>
      </c>
      <c r="D320" s="1607">
        <f>C320-0.301</f>
        <v/>
      </c>
      <c r="E320" s="1571">
        <f>E319+D320</f>
        <v/>
      </c>
      <c r="F320" s="1571">
        <f>F319-D319</f>
        <v/>
      </c>
      <c r="G320" s="1572">
        <f>G319-D320</f>
        <v/>
      </c>
      <c r="H320" s="1649" t="inlineStr">
        <is>
          <t>.</t>
        </is>
      </c>
      <c r="K320" s="1578" t="n"/>
    </row>
    <row r="321" ht="39.75" customFormat="1" customHeight="1" s="1549">
      <c r="A321" s="1568" t="inlineStr">
        <is>
          <t>JT.#115</t>
        </is>
      </c>
      <c r="B321" s="1568" t="inlineStr">
        <is>
          <t>3-1/2" TUBING 9.2 LB/FT ALLOY 28 TSH BL</t>
        </is>
      </c>
      <c r="C321" s="1569" t="n">
        <v>31</v>
      </c>
      <c r="D321" s="1570">
        <f>C321-0.301</f>
        <v/>
      </c>
      <c r="E321" s="1571">
        <f>E320+D321</f>
        <v/>
      </c>
      <c r="F321" s="1571">
        <f>F320-D320</f>
        <v/>
      </c>
      <c r="G321" s="1572">
        <f>G320-D321</f>
        <v/>
      </c>
      <c r="H321" s="1593" t="n"/>
      <c r="K321" s="1578" t="n"/>
    </row>
    <row r="322" ht="39.75" customFormat="1" customHeight="1" s="1549">
      <c r="A322" s="1568" t="inlineStr">
        <is>
          <t>JT.#116</t>
        </is>
      </c>
      <c r="B322" s="1568" t="inlineStr">
        <is>
          <t>3-1/2" TUBING 9.2 LB/FT ALLOY 28 TSH BL</t>
        </is>
      </c>
      <c r="C322" s="1569" t="n">
        <v>31</v>
      </c>
      <c r="D322" s="1570">
        <f>C322-0.301</f>
        <v/>
      </c>
      <c r="E322" s="1571">
        <f>E321+D322</f>
        <v/>
      </c>
      <c r="F322" s="1571">
        <f>F321-D321</f>
        <v/>
      </c>
      <c r="G322" s="1572">
        <f>G321-D322</f>
        <v/>
      </c>
      <c r="H322" s="1594" t="inlineStr">
        <is>
          <t xml:space="preserve">FILL UP STRING </t>
        </is>
      </c>
      <c r="K322" s="1578" t="n"/>
    </row>
    <row r="323" ht="39.75" customFormat="1" customHeight="1" s="1549">
      <c r="A323" s="1568" t="inlineStr">
        <is>
          <t>JT.#117</t>
        </is>
      </c>
      <c r="B323" s="1568" t="inlineStr">
        <is>
          <t>3-1/2" TUBING 9.2 LB/FT ALLOY 28 TSH BL</t>
        </is>
      </c>
      <c r="C323" s="1569" t="n">
        <v>31</v>
      </c>
      <c r="D323" s="1570">
        <f>C323-0.301</f>
        <v/>
      </c>
      <c r="E323" s="1571">
        <f>E322+D323</f>
        <v/>
      </c>
      <c r="F323" s="1571">
        <f>F322-D322</f>
        <v/>
      </c>
      <c r="G323" s="1572">
        <f>G322-D323</f>
        <v/>
      </c>
      <c r="H323" s="1639" t="n"/>
      <c r="K323" s="1578" t="n"/>
    </row>
    <row r="324" ht="39.75" customFormat="1" customHeight="1" s="1549">
      <c r="A324" s="1568" t="inlineStr">
        <is>
          <t>JT.#118</t>
        </is>
      </c>
      <c r="B324" s="1568" t="inlineStr">
        <is>
          <t>3-1/2" TUBING 9.2 LB/FT ALLOY 28 TSH BL</t>
        </is>
      </c>
      <c r="C324" s="1569" t="n">
        <v>31</v>
      </c>
      <c r="D324" s="1570">
        <f>C324-0.301</f>
        <v/>
      </c>
      <c r="E324" s="1571">
        <f>E323+D324</f>
        <v/>
      </c>
      <c r="F324" s="1571">
        <f>F323-D323</f>
        <v/>
      </c>
      <c r="G324" s="1572">
        <f>G323-D324</f>
        <v/>
      </c>
      <c r="K324" s="1578" t="n"/>
    </row>
    <row r="325" ht="39.75" customFormat="1" customHeight="1" s="1549">
      <c r="A325" s="1568" t="inlineStr">
        <is>
          <t>JT.#119</t>
        </is>
      </c>
      <c r="B325" s="1568" t="inlineStr">
        <is>
          <t>3-1/2" TUBING 9.2 LB/FT ALLOY 28 TSH BL</t>
        </is>
      </c>
      <c r="C325" s="1569" t="n">
        <v>31</v>
      </c>
      <c r="D325" s="1570">
        <f>C325-0.301</f>
        <v/>
      </c>
      <c r="E325" s="1571">
        <f>E324+D325</f>
        <v/>
      </c>
      <c r="F325" s="1571">
        <f>F324-D324</f>
        <v/>
      </c>
      <c r="G325" s="1572">
        <f>G324-D325</f>
        <v/>
      </c>
      <c r="H325" s="1639" t="n"/>
      <c r="K325" s="1578" t="n"/>
    </row>
    <row r="326" ht="39.75" customFormat="1" customHeight="1" s="1549">
      <c r="A326" s="1568" t="inlineStr">
        <is>
          <t>JT.#120</t>
        </is>
      </c>
      <c r="B326" s="1568" t="inlineStr">
        <is>
          <t>3-1/2" TUBING 9.2 LB/FT ALLOY 28 TSH BL</t>
        </is>
      </c>
      <c r="C326" s="1569" t="n">
        <v>31</v>
      </c>
      <c r="D326" s="1570">
        <f>C326-0.301</f>
        <v/>
      </c>
      <c r="E326" s="1571">
        <f>E325+D326</f>
        <v/>
      </c>
      <c r="F326" s="1571">
        <f>F325-D325</f>
        <v/>
      </c>
      <c r="G326" s="1572">
        <f>G325-D326</f>
        <v/>
      </c>
      <c r="H326" s="1639" t="n"/>
      <c r="K326" s="1578" t="n"/>
    </row>
    <row r="327" ht="39.75" customFormat="1" customHeight="1" s="1549">
      <c r="A327" s="1568" t="inlineStr">
        <is>
          <t>JT.#121</t>
        </is>
      </c>
      <c r="B327" s="1568" t="inlineStr">
        <is>
          <t>3-1/2" TUBING 9.2 LB/FT ALLOY 28 TSH BL</t>
        </is>
      </c>
      <c r="C327" s="1569" t="n">
        <v>31</v>
      </c>
      <c r="D327" s="1570">
        <f>C327-0.301</f>
        <v/>
      </c>
      <c r="E327" s="1571">
        <f>E326+D327</f>
        <v/>
      </c>
      <c r="F327" s="1571">
        <f>F326-D326</f>
        <v/>
      </c>
      <c r="G327" s="1572">
        <f>G326-D327</f>
        <v/>
      </c>
      <c r="H327" s="1639" t="n"/>
      <c r="K327" s="1578" t="n"/>
    </row>
    <row r="328" ht="39.75" customFormat="1" customHeight="1" s="1549">
      <c r="A328" s="1568" t="inlineStr">
        <is>
          <t>JT.#122</t>
        </is>
      </c>
      <c r="B328" s="1568" t="inlineStr">
        <is>
          <t>3-1/2" TUBING 9.2 LB/FT ALLOY 28 TSH BL</t>
        </is>
      </c>
      <c r="C328" s="1569" t="n">
        <v>31</v>
      </c>
      <c r="D328" s="1570">
        <f>C328-0.301</f>
        <v/>
      </c>
      <c r="E328" s="1571">
        <f>E327+D328</f>
        <v/>
      </c>
      <c r="F328" s="1571">
        <f>F327-D327</f>
        <v/>
      </c>
      <c r="G328" s="1572">
        <f>G327-D328</f>
        <v/>
      </c>
      <c r="H328" s="1639" t="n"/>
      <c r="K328" s="1578" t="n"/>
    </row>
    <row r="329" ht="108" customFormat="1" customHeight="1" s="1549">
      <c r="A329" s="1568" t="inlineStr">
        <is>
          <t>JT.#123</t>
        </is>
      </c>
      <c r="B329" s="1568" t="inlineStr">
        <is>
          <t>3-1/2" TUBING 9.2 LB/FT ALLOY 28 TSH BL</t>
        </is>
      </c>
      <c r="C329" s="1569" t="n">
        <v>31</v>
      </c>
      <c r="D329" s="1615">
        <f>C329-0.301</f>
        <v/>
      </c>
      <c r="E329" s="1571">
        <f>E328+D329</f>
        <v/>
      </c>
      <c r="F329" s="1571">
        <f>F328-D328</f>
        <v/>
      </c>
      <c r="G329" s="1572">
        <f>G328-D329</f>
        <v/>
      </c>
      <c r="H329" s="1644" t="n"/>
    </row>
    <row r="330" ht="103.5" customFormat="1" customHeight="1" s="1549">
      <c r="A330" s="1568" t="inlineStr">
        <is>
          <t>JT.#124</t>
        </is>
      </c>
      <c r="B330" s="1568" t="inlineStr">
        <is>
          <t>3-1/2" TUBING 9.2 LB/FT ALLOY 28 TSH BL</t>
        </is>
      </c>
      <c r="C330" s="1569" t="n">
        <v>31</v>
      </c>
      <c r="D330" s="1615">
        <f>C330</f>
        <v/>
      </c>
      <c r="E330" s="1571">
        <f>E329+D330</f>
        <v/>
      </c>
      <c r="F330" s="1571">
        <f>F329-D329</f>
        <v/>
      </c>
      <c r="G330" s="1572">
        <f>G329-D330</f>
        <v/>
      </c>
      <c r="H330" s="1644" t="n"/>
    </row>
    <row r="331" ht="226.5" customFormat="1" customHeight="1" s="1549">
      <c r="A331" s="1568" t="inlineStr">
        <is>
          <t>JT.#125</t>
        </is>
      </c>
      <c r="B331" s="1568" t="inlineStr">
        <is>
          <t>3-1/2" TUBING 9.2 LB/FT ALLOY 28 TSH BL</t>
        </is>
      </c>
      <c r="C331" s="1569" t="n">
        <v>31</v>
      </c>
      <c r="D331" s="1619">
        <f>C331</f>
        <v/>
      </c>
      <c r="E331" s="1571">
        <f>E330+D331</f>
        <v/>
      </c>
      <c r="F331" s="1571">
        <f>F330-D330</f>
        <v/>
      </c>
      <c r="G331" s="1572">
        <f>G330-D331</f>
        <v/>
      </c>
      <c r="H331" s="1629" t="inlineStr">
        <is>
          <t>TARGET @2561'</t>
        </is>
      </c>
    </row>
    <row r="332" ht="131.25" customFormat="1" customHeight="1" s="1549">
      <c r="A332" s="1568" t="inlineStr">
        <is>
          <t>JT.#126</t>
        </is>
      </c>
      <c r="B332" s="1568" t="inlineStr">
        <is>
          <t>3-1/2" TUBING 9.2 LB/FT ALLOY 28 TSH BL</t>
        </is>
      </c>
      <c r="C332" s="1569" t="n">
        <v>31</v>
      </c>
      <c r="D332" s="1619">
        <f>C332</f>
        <v/>
      </c>
      <c r="E332" s="1571">
        <f>E331+D332</f>
        <v/>
      </c>
      <c r="F332" s="1571">
        <f>F331-D331</f>
        <v/>
      </c>
      <c r="G332" s="1572">
        <f>G331-D332</f>
        <v/>
      </c>
      <c r="H332" s="1629" t="n"/>
    </row>
    <row r="333" ht="131.25" customFormat="1" customHeight="1" s="1549">
      <c r="A333" s="1568" t="inlineStr">
        <is>
          <t>JT.#127</t>
        </is>
      </c>
      <c r="B333" s="1568" t="inlineStr">
        <is>
          <t>3-1/2" TUBING 9.2 LB/FT ALLOY 28 TSH BL</t>
        </is>
      </c>
      <c r="C333" s="1569" t="n">
        <v>31</v>
      </c>
      <c r="D333" s="1619">
        <f>C333</f>
        <v/>
      </c>
      <c r="E333" s="1571">
        <f>E332+D333</f>
        <v/>
      </c>
      <c r="F333" s="1571">
        <f>F332-D332</f>
        <v/>
      </c>
      <c r="G333" s="1572">
        <f>G332-D333</f>
        <v/>
      </c>
      <c r="H333" s="1629" t="n"/>
    </row>
    <row r="334" ht="39.75" customFormat="1" customHeight="1" s="1549">
      <c r="A334" s="1568" t="inlineStr">
        <is>
          <t>JT.#128</t>
        </is>
      </c>
      <c r="B334" s="1568" t="inlineStr">
        <is>
          <t>3-1/2" TUBING 9.2 LB/FT ALLOY 28 TSH BL</t>
        </is>
      </c>
      <c r="C334" s="1569" t="n">
        <v>31</v>
      </c>
      <c r="D334" s="1570">
        <f>C334-0.301</f>
        <v/>
      </c>
      <c r="E334" s="1571">
        <f>E333+D334</f>
        <v/>
      </c>
      <c r="F334" s="1571">
        <f>F333-D333</f>
        <v/>
      </c>
      <c r="G334" s="1572">
        <f>G333-D334</f>
        <v/>
      </c>
      <c r="H334" s="1639" t="n"/>
      <c r="K334" s="1578" t="n"/>
    </row>
    <row r="335" ht="39.75" customFormat="1" customHeight="1" s="1549">
      <c r="A335" s="1568" t="inlineStr">
        <is>
          <t>JT.#129</t>
        </is>
      </c>
      <c r="B335" s="1568" t="inlineStr">
        <is>
          <t>3-1/2" TUBING 9.2 LB/FT ALLOY 28 TSH BL</t>
        </is>
      </c>
      <c r="C335" s="1569" t="n">
        <v>31</v>
      </c>
      <c r="D335" s="1570">
        <f>C335-0.301</f>
        <v/>
      </c>
      <c r="E335" s="1571">
        <f>E334+D335</f>
        <v/>
      </c>
      <c r="F335" s="1571">
        <f>F334-D334</f>
        <v/>
      </c>
      <c r="G335" s="1572">
        <f>G334-D335</f>
        <v/>
      </c>
      <c r="H335" s="1639" t="n"/>
      <c r="K335" s="1578" t="n"/>
    </row>
    <row r="336" ht="39.75" customFormat="1" customHeight="1" s="1549">
      <c r="A336" s="1568" t="inlineStr">
        <is>
          <t>JT.#130</t>
        </is>
      </c>
      <c r="B336" s="1568" t="inlineStr">
        <is>
          <t>3-1/2" TUBING 9.2 LB/FT ALLOY 28 TSH BL</t>
        </is>
      </c>
      <c r="C336" s="1569" t="n">
        <v>31</v>
      </c>
      <c r="D336" s="1570">
        <f>C336-0.301</f>
        <v/>
      </c>
      <c r="E336" s="1571">
        <f>E335+D336</f>
        <v/>
      </c>
      <c r="F336" s="1571">
        <f>F335-D335</f>
        <v/>
      </c>
      <c r="G336" s="1572">
        <f>G335-D336</f>
        <v/>
      </c>
      <c r="H336" s="1593" t="inlineStr">
        <is>
          <t>.</t>
        </is>
      </c>
      <c r="K336" s="1578" t="n"/>
    </row>
    <row r="337" ht="39.75" customFormat="1" customHeight="1" s="1549">
      <c r="A337" s="1568" t="inlineStr">
        <is>
          <t>JT.#131</t>
        </is>
      </c>
      <c r="B337" s="1568" t="inlineStr">
        <is>
          <t>3-1/2" TUBING 9.2 LB/FT ALLOY 28 TSH BL</t>
        </is>
      </c>
      <c r="C337" s="1569" t="n">
        <v>31</v>
      </c>
      <c r="D337" s="1570">
        <f>C337-0.301</f>
        <v/>
      </c>
      <c r="E337" s="1571">
        <f>E336+D337</f>
        <v/>
      </c>
      <c r="F337" s="1571">
        <f>F336-D336</f>
        <v/>
      </c>
      <c r="G337" s="1572">
        <f>G336-D337</f>
        <v/>
      </c>
      <c r="H337" s="1594" t="inlineStr">
        <is>
          <t xml:space="preserve">FILL UP STRING </t>
        </is>
      </c>
      <c r="K337" s="1578" t="n"/>
    </row>
    <row r="338" ht="39.75" customFormat="1" customHeight="1" s="1549">
      <c r="A338" s="1568" t="inlineStr">
        <is>
          <t>JT.#132</t>
        </is>
      </c>
      <c r="B338" s="1568" t="inlineStr">
        <is>
          <t>3-1/2" TUBING 9.2 LB/FT ALLOY 28 TSH BL</t>
        </is>
      </c>
      <c r="C338" s="1569" t="n">
        <v>31</v>
      </c>
      <c r="D338" s="1570">
        <f>C338-0.301</f>
        <v/>
      </c>
      <c r="E338" s="1571">
        <f>E337+D338</f>
        <v/>
      </c>
      <c r="F338" s="1571">
        <f>F337-D337</f>
        <v/>
      </c>
      <c r="G338" s="1572">
        <f>G337-D338</f>
        <v/>
      </c>
      <c r="H338" s="1639" t="n"/>
      <c r="K338" s="1578" t="n"/>
    </row>
    <row r="339" ht="39.75" customFormat="1" customHeight="1" s="1549">
      <c r="A339" s="1568" t="inlineStr">
        <is>
          <t>JT.#133</t>
        </is>
      </c>
      <c r="B339" s="1568" t="inlineStr">
        <is>
          <t>3-1/2" TUBING 9.2 LB/FT ALLOY 28 TSH BL</t>
        </is>
      </c>
      <c r="C339" s="1569" t="n">
        <v>31</v>
      </c>
      <c r="D339" s="1570">
        <f>C339-0.301</f>
        <v/>
      </c>
      <c r="E339" s="1571">
        <f>E338+D339</f>
        <v/>
      </c>
      <c r="F339" s="1571">
        <f>F338-D338</f>
        <v/>
      </c>
      <c r="G339" s="1572">
        <f>G338-D339</f>
        <v/>
      </c>
      <c r="K339" s="1578" t="n"/>
    </row>
    <row r="340" ht="39.75" customFormat="1" customHeight="1" s="1549">
      <c r="A340" s="1568" t="inlineStr">
        <is>
          <t>JT.#134</t>
        </is>
      </c>
      <c r="B340" s="1568" t="inlineStr">
        <is>
          <t>3-1/2" TUBING 9.2 LB/FT ALLOY 28 TSH BL</t>
        </is>
      </c>
      <c r="C340" s="1569" t="n">
        <v>31</v>
      </c>
      <c r="D340" s="1570">
        <f>C340-0.301</f>
        <v/>
      </c>
      <c r="E340" s="1571">
        <f>E339+D340</f>
        <v/>
      </c>
      <c r="F340" s="1571">
        <f>F339-D339</f>
        <v/>
      </c>
      <c r="G340" s="1572">
        <f>G339-D340</f>
        <v/>
      </c>
      <c r="H340" s="1639" t="n"/>
      <c r="K340" s="1578" t="n"/>
    </row>
    <row r="341" ht="39.75" customFormat="1" customHeight="1" s="1549">
      <c r="A341" s="1568" t="inlineStr">
        <is>
          <t>JT.#135</t>
        </is>
      </c>
      <c r="B341" s="1568" t="inlineStr">
        <is>
          <t>3-1/2" TUBING 9.2 LB/FT ALLOY 28 TSH BL</t>
        </is>
      </c>
      <c r="C341" s="1569" t="n">
        <v>31</v>
      </c>
      <c r="D341" s="1570">
        <f>C341-0.301</f>
        <v/>
      </c>
      <c r="E341" s="1571">
        <f>E340+D341</f>
        <v/>
      </c>
      <c r="F341" s="1571">
        <f>F340-D340</f>
        <v/>
      </c>
      <c r="G341" s="1572">
        <f>G340-D341</f>
        <v/>
      </c>
      <c r="H341" s="1639" t="n"/>
      <c r="K341" s="1578" t="n"/>
    </row>
    <row r="342" ht="39.75" customFormat="1" customHeight="1" s="1549">
      <c r="A342" s="1568" t="inlineStr">
        <is>
          <t>JT.#136</t>
        </is>
      </c>
      <c r="B342" s="1568" t="inlineStr">
        <is>
          <t>3-1/2" TUBING 9.2 LB/FT ALLOY 28 TSH BL</t>
        </is>
      </c>
      <c r="C342" s="1569" t="n">
        <v>31</v>
      </c>
      <c r="D342" s="1570">
        <f>C342-0.301</f>
        <v/>
      </c>
      <c r="E342" s="1571">
        <f>E341+D342</f>
        <v/>
      </c>
      <c r="F342" s="1571">
        <f>F341-D341</f>
        <v/>
      </c>
      <c r="G342" s="1572">
        <f>G341-D342</f>
        <v/>
      </c>
      <c r="H342" s="1639" t="n"/>
      <c r="K342" s="1578" t="n"/>
    </row>
    <row r="343" ht="39.75" customFormat="1" customHeight="1" s="1549">
      <c r="A343" s="1568" t="inlineStr">
        <is>
          <t>JT.#137</t>
        </is>
      </c>
      <c r="B343" s="1568" t="inlineStr">
        <is>
          <t>3-1/2" TUBING 9.2 LB/FT ALLOY 28 TSH BL</t>
        </is>
      </c>
      <c r="C343" s="1569" t="n">
        <v>31</v>
      </c>
      <c r="D343" s="1570">
        <f>C343-0.301</f>
        <v/>
      </c>
      <c r="E343" s="1571">
        <f>E342+D343</f>
        <v/>
      </c>
      <c r="F343" s="1571">
        <f>F342-D342</f>
        <v/>
      </c>
      <c r="G343" s="1572">
        <f>G342-D343</f>
        <v/>
      </c>
      <c r="H343" s="1639" t="n"/>
      <c r="K343" s="1578" t="n"/>
    </row>
    <row r="344" ht="39.75" customFormat="1" customHeight="1" s="1549">
      <c r="A344" s="1568" t="inlineStr">
        <is>
          <t>JT.#138</t>
        </is>
      </c>
      <c r="B344" s="1568" t="inlineStr">
        <is>
          <t>3-1/2" TUBING 9.2 LB/FT ALLOY 28 TSH BL</t>
        </is>
      </c>
      <c r="C344" s="1569" t="n">
        <v>31</v>
      </c>
      <c r="D344" s="1570">
        <f>C344-0.301</f>
        <v/>
      </c>
      <c r="E344" s="1571">
        <f>E343+D344</f>
        <v/>
      </c>
      <c r="F344" s="1571">
        <f>F343-D343</f>
        <v/>
      </c>
      <c r="G344" s="1572">
        <f>G343-D344</f>
        <v/>
      </c>
      <c r="H344" s="1639" t="n"/>
      <c r="K344" s="1578" t="n"/>
    </row>
    <row r="345" ht="39.75" customFormat="1" customHeight="1" s="1549">
      <c r="A345" s="1568" t="inlineStr">
        <is>
          <t>JT.#139</t>
        </is>
      </c>
      <c r="B345" s="1568" t="inlineStr">
        <is>
          <t>3-1/2" TUBING 9.2 LB/FT ALLOY 28 TSH BL</t>
        </is>
      </c>
      <c r="C345" s="1569" t="n">
        <v>31</v>
      </c>
      <c r="D345" s="1570">
        <f>C345-0.301</f>
        <v/>
      </c>
      <c r="E345" s="1571">
        <f>E344+D345</f>
        <v/>
      </c>
      <c r="F345" s="1571">
        <f>F344-D344</f>
        <v/>
      </c>
      <c r="G345" s="1572">
        <f>G344-D345</f>
        <v/>
      </c>
      <c r="H345" s="1648" t="n"/>
      <c r="K345" s="1578" t="n"/>
    </row>
    <row r="346" ht="39.75" customFormat="1" customHeight="1" s="1549">
      <c r="A346" s="1568" t="inlineStr">
        <is>
          <t>JT.#140</t>
        </is>
      </c>
      <c r="B346" s="1568" t="inlineStr">
        <is>
          <t>3-1/2" TUBING 9.2 LB/FT ALLOY 28 TSH BL</t>
        </is>
      </c>
      <c r="C346" s="1569" t="n">
        <v>31</v>
      </c>
      <c r="D346" s="1570">
        <f>C346-0.301</f>
        <v/>
      </c>
      <c r="E346" s="1571">
        <f>E345+D346</f>
        <v/>
      </c>
      <c r="F346" s="1571">
        <f>F345-D345</f>
        <v/>
      </c>
      <c r="G346" s="1572">
        <f>G345-D346</f>
        <v/>
      </c>
      <c r="H346" s="1593" t="inlineStr">
        <is>
          <t>.</t>
        </is>
      </c>
      <c r="K346" s="1578" t="n"/>
    </row>
    <row r="347" ht="39.75" customFormat="1" customHeight="1" s="1549">
      <c r="A347" s="1568" t="inlineStr">
        <is>
          <t>JT.#141</t>
        </is>
      </c>
      <c r="B347" s="1568" t="inlineStr">
        <is>
          <t>3-1/2" TUBING 9.2 LB/FT ALLOY 28 TSH BL</t>
        </is>
      </c>
      <c r="C347" s="1569" t="n">
        <v>31</v>
      </c>
      <c r="D347" s="1570">
        <f>C347-0.301</f>
        <v/>
      </c>
      <c r="E347" s="1571">
        <f>E346+D347</f>
        <v/>
      </c>
      <c r="F347" s="1571">
        <f>F346-D346</f>
        <v/>
      </c>
      <c r="G347" s="1572">
        <f>G346-D347</f>
        <v/>
      </c>
      <c r="H347" s="1594" t="inlineStr">
        <is>
          <t xml:space="preserve">FILL UP STRING </t>
        </is>
      </c>
      <c r="K347" s="1578" t="n"/>
    </row>
    <row r="348" ht="39.75" customFormat="1" customHeight="1" s="1549">
      <c r="A348" s="1568" t="inlineStr">
        <is>
          <t>JT.#142</t>
        </is>
      </c>
      <c r="B348" s="1568" t="inlineStr">
        <is>
          <t>3-1/2" TUBING 9.2 LB/FT ALLOY 28 TSH BL</t>
        </is>
      </c>
      <c r="C348" s="1569" t="n">
        <v>31</v>
      </c>
      <c r="D348" s="1570">
        <f>C348-0.301</f>
        <v/>
      </c>
      <c r="E348" s="1571">
        <f>E347+D348</f>
        <v/>
      </c>
      <c r="F348" s="1571">
        <f>F347-D347</f>
        <v/>
      </c>
      <c r="G348" s="1572">
        <f>G347-D348</f>
        <v/>
      </c>
      <c r="H348" s="1639" t="n"/>
      <c r="K348" s="1578" t="n"/>
    </row>
    <row r="349" ht="39.75" customFormat="1" customHeight="1" s="1549">
      <c r="A349" s="1568" t="inlineStr">
        <is>
          <t>JT.#143</t>
        </is>
      </c>
      <c r="B349" s="1568" t="inlineStr">
        <is>
          <t>3-1/2" TUBING 9.2 LB/FT ALLOY 28 TSH BL</t>
        </is>
      </c>
      <c r="C349" s="1569" t="n">
        <v>31</v>
      </c>
      <c r="D349" s="1570">
        <f>C349-0.301</f>
        <v/>
      </c>
      <c r="E349" s="1571">
        <f>E348+D349</f>
        <v/>
      </c>
      <c r="F349" s="1571">
        <f>F348-D348</f>
        <v/>
      </c>
      <c r="G349" s="1572">
        <f>G348-D349</f>
        <v/>
      </c>
      <c r="K349" s="1578" t="n"/>
    </row>
    <row r="350" ht="39.75" customFormat="1" customHeight="1" s="1549">
      <c r="A350" s="1568" t="inlineStr">
        <is>
          <t>JT.#144</t>
        </is>
      </c>
      <c r="B350" s="1568" t="inlineStr">
        <is>
          <t>3-1/2" TUBING 9.2 LB/FT ALLOY 28 TSH BL</t>
        </is>
      </c>
      <c r="C350" s="1569" t="n">
        <v>31</v>
      </c>
      <c r="D350" s="1570">
        <f>C350-0.301</f>
        <v/>
      </c>
      <c r="E350" s="1571">
        <f>E349+D350</f>
        <v/>
      </c>
      <c r="F350" s="1571">
        <f>F349-D349</f>
        <v/>
      </c>
      <c r="G350" s="1572">
        <f>G349-D350</f>
        <v/>
      </c>
      <c r="H350" s="1639" t="n"/>
      <c r="K350" s="1578" t="n"/>
    </row>
    <row r="351" ht="39.75" customFormat="1" customHeight="1" s="1549">
      <c r="A351" s="1568" t="inlineStr">
        <is>
          <t>JT.#145</t>
        </is>
      </c>
      <c r="B351" s="1568" t="inlineStr">
        <is>
          <t>3-1/2" TUBING 9.2 LB/FT ALLOY 28 TSH BL</t>
        </is>
      </c>
      <c r="C351" s="1569" t="n">
        <v>31</v>
      </c>
      <c r="D351" s="1570">
        <f>C351-0.301</f>
        <v/>
      </c>
      <c r="E351" s="1571">
        <f>E350+D351</f>
        <v/>
      </c>
      <c r="F351" s="1571">
        <f>F350-D350</f>
        <v/>
      </c>
      <c r="G351" s="1572">
        <f>G350-D351</f>
        <v/>
      </c>
      <c r="H351" s="1639" t="n"/>
      <c r="K351" s="1578" t="n"/>
    </row>
    <row r="352" ht="39.75" customFormat="1" customHeight="1" s="1549">
      <c r="A352" s="1650" t="inlineStr">
        <is>
          <t>B</t>
        </is>
      </c>
      <c r="B352" s="1651" t="inlineStr">
        <is>
          <t>UPPER CONN. 3-1/2" VAM TOP BOX 9.2 PPF SN 28 110 KSI
DESCRIPTION: 5 FEET XOVER
SAP: 130005011340
SUPPLIER: TENARIS
LOWER CONN. 3-1/2" TSH BLUE PIN 9.2 PPF SN 28 110 KSI</t>
        </is>
      </c>
      <c r="C352" s="1652" t="n">
        <v>5.18</v>
      </c>
      <c r="D352" s="1570">
        <f>C352-0.301</f>
        <v/>
      </c>
      <c r="E352" s="1571">
        <f>E351+D352</f>
        <v/>
      </c>
      <c r="F352" s="1571">
        <f>F351-D351</f>
        <v/>
      </c>
      <c r="G352" s="1572">
        <f>G351-D352</f>
        <v/>
      </c>
      <c r="H352" s="1639" t="n"/>
      <c r="K352" s="1578" t="n"/>
    </row>
    <row r="353" ht="39.75" customFormat="1" customHeight="1" s="1549">
      <c r="A353" s="1582" t="n"/>
      <c r="B353" s="1651" t="inlineStr">
        <is>
          <t>UPPER CONN. 3-1/2" SENTINEL PRIME BOX 9.2 PPF TX28-110 KSI
DESCRIPTION: 5 FEET XOVER
SAP: 130013006385
SUPPLIER: TBX
LOWER CONN. 3-1/2" VAM TOP PIN 9.2 PPF TX28- 110 KSI</t>
        </is>
      </c>
      <c r="C353" s="1652" t="n">
        <v>4.91</v>
      </c>
      <c r="D353" s="1570">
        <f>C353-0.301</f>
        <v/>
      </c>
      <c r="E353" s="1571">
        <f>E352+D353</f>
        <v/>
      </c>
      <c r="F353" s="1571">
        <f>F352-D352</f>
        <v/>
      </c>
      <c r="G353" s="1572">
        <f>G352-D353</f>
        <v/>
      </c>
      <c r="H353" s="1639" t="n"/>
      <c r="K353" s="1578" t="n"/>
    </row>
    <row r="354" ht="39.75" customFormat="1" customHeight="1" s="1549">
      <c r="A354" s="1582" t="n"/>
      <c r="B354" s="1651" t="inlineStr">
        <is>
          <t>UPPER CONN. 3-1/2" SENTINEL PRIME 9.2#PPF INC 925 BOX
DESCRIPTION: NINE ENERGY MULTICYCLE BARRIER DEVICE
7 CYCLES REMAINING
P/N: 3207251
S/N: 100 086 877
SAP: 130010036003 SUPPLIER: NINE ENERGY
LOWER CONN- 3 1/2 9.2 SENTINEL PRIME 9.2 PPF INC 925 PIN</t>
        </is>
      </c>
      <c r="C354" s="1652" t="n">
        <v>5.22</v>
      </c>
      <c r="D354" s="1570">
        <f>C354-0.301</f>
        <v/>
      </c>
      <c r="E354" s="1571">
        <f>E353+D354</f>
        <v/>
      </c>
      <c r="F354" s="1571">
        <f>F353-D353</f>
        <v/>
      </c>
      <c r="G354" s="1572">
        <f>G353-D354</f>
        <v/>
      </c>
      <c r="H354" s="1639" t="n"/>
      <c r="K354" s="1578" t="n"/>
    </row>
    <row r="355" ht="39.75" customFormat="1" customHeight="1" s="1549">
      <c r="A355" s="1582" t="n"/>
      <c r="B355" s="1651" t="inlineStr">
        <is>
          <t>UPPER CONN. 3-1/2" VAM TOP BOX 9.2 PPF TX28- 110 KSI
DESCRIPTION: 5 FEET XOVER
SAP: 130013006383
SUPPLIER: TBX
LOWER CONN -3-1/2" SENTINEL PRIME PIN 9.2 PPF TX28-110 KSI</t>
        </is>
      </c>
      <c r="C355" s="1652" t="n">
        <v>4.8</v>
      </c>
      <c r="D355" s="1570">
        <f>C355-0.301</f>
        <v/>
      </c>
      <c r="E355" s="1571">
        <f>E354+D355</f>
        <v/>
      </c>
      <c r="F355" s="1571">
        <f>F354-D354</f>
        <v/>
      </c>
      <c r="G355" s="1572">
        <f>G354-D355</f>
        <v/>
      </c>
      <c r="H355" s="1639" t="n"/>
      <c r="K355" s="1578" t="n"/>
    </row>
    <row r="356" ht="39.75" customFormat="1" customHeight="1" s="1549">
      <c r="A356" s="1148" t="n"/>
      <c r="B356" s="1651" t="inlineStr">
        <is>
          <t>UPPER CONN. 3-1/2" TSH BLUE BOX 9.2 PPF SN 28 110 KSI
DESCRIPTION: 10 FEET XOVER
SAP: 130005011444
SUPPLIER: TENARIS
LOWER CONN. 3-1/2" VAM TOP PIN 9.2 PPF SN 28 110 KSI</t>
        </is>
      </c>
      <c r="C356" s="1652" t="n">
        <v>9.83</v>
      </c>
      <c r="D356" s="1570">
        <f>C356-0.301</f>
        <v/>
      </c>
      <c r="E356" s="1571">
        <f>E355+D356</f>
        <v/>
      </c>
      <c r="F356" s="1571">
        <f>F355-D355</f>
        <v/>
      </c>
      <c r="G356" s="1572">
        <f>G355-D356</f>
        <v/>
      </c>
      <c r="H356" s="1593" t="inlineStr">
        <is>
          <t>.</t>
        </is>
      </c>
      <c r="K356" s="1578" t="n"/>
    </row>
    <row r="357" ht="39.75" customFormat="1" customHeight="1" s="1549">
      <c r="A357" s="1568" t="inlineStr">
        <is>
          <t>JT.#146</t>
        </is>
      </c>
      <c r="B357" s="1568" t="inlineStr">
        <is>
          <t>3-1/2" TUBING 9.2 LB/FT ALLOY 28 TSH BL</t>
        </is>
      </c>
      <c r="C357" s="1569" t="n">
        <v>31</v>
      </c>
      <c r="D357" s="1570">
        <f>C357-0.301</f>
        <v/>
      </c>
      <c r="E357" s="1571">
        <f>E356+D357</f>
        <v/>
      </c>
      <c r="F357" s="1571">
        <f>F356-D356</f>
        <v/>
      </c>
      <c r="G357" s="1572">
        <f>G356-D357</f>
        <v/>
      </c>
      <c r="H357" s="1594" t="inlineStr">
        <is>
          <t xml:space="preserve">FILL UP STRING </t>
        </is>
      </c>
      <c r="K357" s="1578" t="n"/>
    </row>
    <row r="358" ht="39.75" customFormat="1" customHeight="1" s="1549">
      <c r="A358" s="1568" t="inlineStr">
        <is>
          <t>JT.#147</t>
        </is>
      </c>
      <c r="B358" s="1568" t="inlineStr">
        <is>
          <t>3-1/2" TUBING 9.2 LB/FT ALLOY 28 TSH BL</t>
        </is>
      </c>
      <c r="C358" s="1569" t="n">
        <v>31</v>
      </c>
      <c r="D358" s="1570">
        <f>C358-0.301</f>
        <v/>
      </c>
      <c r="E358" s="1571">
        <f>E357+D358</f>
        <v/>
      </c>
      <c r="F358" s="1571">
        <f>F357-D357</f>
        <v/>
      </c>
      <c r="G358" s="1572">
        <f>G357-D358</f>
        <v/>
      </c>
      <c r="H358" s="1639" t="n"/>
      <c r="K358" s="1578" t="n"/>
    </row>
    <row r="359" ht="39.75" customFormat="1" customHeight="1" s="1549">
      <c r="A359" s="1653" t="inlineStr">
        <is>
          <t>C</t>
        </is>
      </c>
      <c r="B359" s="1654" t="inlineStr">
        <is>
          <t>UPPER CONN. 3-1/2" VAM TOP BOX 9.2 PPF SN 28 110 KSI
DESCRIPTION: 5 FEET XOVER
SAP: 130005011340
SUPPLIER: TENARIS
LOWER CONN. 3-1/2" TSH BLUE PIN 9.2 PPF SN 28 110 KSI</t>
        </is>
      </c>
      <c r="C359" s="1655" t="n">
        <v>5.16</v>
      </c>
      <c r="D359" s="1570">
        <f>C359-0.301</f>
        <v/>
      </c>
      <c r="E359" s="1571">
        <f>E358+D359</f>
        <v/>
      </c>
      <c r="F359" s="1571">
        <f>F358-D358</f>
        <v/>
      </c>
      <c r="G359" s="1572">
        <f>G358-D359</f>
        <v/>
      </c>
      <c r="K359" s="1578" t="n"/>
    </row>
    <row r="360" ht="39.75" customFormat="1" customHeight="1" s="1549">
      <c r="A360" s="1582" t="n"/>
      <c r="B360" s="1654" t="inlineStr">
        <is>
          <t>UPPER CONN. 3-1/2" VAM TOP 9.2#PPF INC 925 KSI BOX
DESCRIPTION: 2.750 WXN Nipple
PN: 2963809
S/N :12527047-08
SAP: 130010036868
SUPPLIER: WEATHERFORD
LOWER CONN.3-1/2" VAM TOP 9.2#PPF INC 925KSI PIN</t>
        </is>
      </c>
      <c r="C360" s="1655" t="n">
        <v>1.15</v>
      </c>
      <c r="D360" s="1570">
        <f>C360-0.301</f>
        <v/>
      </c>
      <c r="E360" s="1571">
        <f>E359+D360</f>
        <v/>
      </c>
      <c r="F360" s="1571">
        <f>F359-D359</f>
        <v/>
      </c>
      <c r="G360" s="1572">
        <f>G359-D360</f>
        <v/>
      </c>
      <c r="H360" s="1639" t="n"/>
      <c r="K360" s="1578" t="n"/>
    </row>
    <row r="361" ht="39.75" customFormat="1" customHeight="1" s="1549">
      <c r="A361" s="1582" t="n"/>
      <c r="B361" s="1654" t="inlineStr">
        <is>
          <t>UPPER CONN. 3-1/2" VAM TOP 9.2#PPF SM 2535 BOX
DESCRIPTION: 5 FEET PUP JOINT
SAP: 130005002758
SUPPLIER: VAM
LOWER CONN. 3-1/2" VAM TOP 9.2#PPF SM 2535 PIN</t>
        </is>
      </c>
      <c r="C361" s="1655" t="n">
        <v>4.92</v>
      </c>
      <c r="D361" s="1570">
        <f>C361-0.301</f>
        <v/>
      </c>
      <c r="E361" s="1571">
        <f>E360+D361</f>
        <v/>
      </c>
      <c r="F361" s="1571">
        <f>F360-D360</f>
        <v/>
      </c>
      <c r="G361" s="1572">
        <f>G360-D361</f>
        <v/>
      </c>
      <c r="H361" s="1639" t="n"/>
      <c r="K361" s="1578" t="n"/>
    </row>
    <row r="362" ht="39.75" customFormat="1" customHeight="1" s="1549">
      <c r="A362" s="1582" t="n"/>
      <c r="B362" s="1654" t="inlineStr">
        <is>
          <t>UPPER CONN. 3-1/2" VAM TOP 9.2#PPF SM2535 BOX
DESCRIPTION: 10 FEET PUP JOINT
SAP: 130013000213
SUPPLIER: VAM
LOWER CONN. 3-1/2" VAM TOP 9.2#PPF SM2535 PIN</t>
        </is>
      </c>
      <c r="C362" s="1655" t="n">
        <v>9.92</v>
      </c>
      <c r="D362" s="1570">
        <f>C362-0.301</f>
        <v/>
      </c>
      <c r="E362" s="1571">
        <f>E361+D362</f>
        <v/>
      </c>
      <c r="F362" s="1571">
        <f>F361-D361</f>
        <v/>
      </c>
      <c r="G362" s="1572">
        <f>G361-D362</f>
        <v/>
      </c>
      <c r="H362" s="1639" t="n"/>
      <c r="K362" s="1578" t="n"/>
    </row>
    <row r="363" ht="39.75" customFormat="1" customHeight="1" s="1549">
      <c r="A363" s="1582" t="n"/>
      <c r="B363" s="1654"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55" t="n">
        <v>9.710000000000001</v>
      </c>
      <c r="D363" s="1570">
        <f>C363-0.301</f>
        <v/>
      </c>
      <c r="E363" s="1571">
        <f>E362+D363</f>
        <v/>
      </c>
      <c r="F363" s="1571">
        <f>F362-D362</f>
        <v/>
      </c>
      <c r="G363" s="1572">
        <f>G362-D363</f>
        <v/>
      </c>
      <c r="H363" s="1639" t="n"/>
      <c r="K363" s="1578" t="n"/>
    </row>
    <row r="364" ht="39.75" customFormat="1" customHeight="1" s="1549">
      <c r="A364" s="1148" t="n"/>
      <c r="B364" s="1654" t="inlineStr">
        <is>
          <t>UPPER CONN. 3-1/2" TSH BLUE BOX 9.2 PPF SN 28 110 KSI
DESCRIPTION: 5 FEET XOVER
SAP: 130005011444
SUPPLIER: TENARIS
LOWER CONN. 3-1/2" VAM TOP PIN 9.2 PPF SN 28 110 KSI</t>
        </is>
      </c>
      <c r="C364" s="1655" t="n">
        <v>4.99</v>
      </c>
      <c r="D364" s="1570">
        <f>C364-0.301</f>
        <v/>
      </c>
      <c r="E364" s="1571">
        <f>E363+D364</f>
        <v/>
      </c>
      <c r="F364" s="1571">
        <f>F363-D363</f>
        <v/>
      </c>
      <c r="G364" s="1572">
        <f>G363-D364</f>
        <v/>
      </c>
      <c r="H364" s="1639" t="n"/>
      <c r="K364" s="1578" t="n"/>
    </row>
    <row r="365" ht="39.75" customFormat="1" customHeight="1" s="1549">
      <c r="A365" s="1568" t="inlineStr">
        <is>
          <t>JT.#148</t>
        </is>
      </c>
      <c r="B365" s="1568" t="inlineStr">
        <is>
          <t>3-1/2" TUBING 9.2 LB/FT ALLOY 28 TSH BL</t>
        </is>
      </c>
      <c r="C365" s="1569" t="n">
        <v>31</v>
      </c>
      <c r="D365" s="1570">
        <f>C365-0.301</f>
        <v/>
      </c>
      <c r="E365" s="1571">
        <f>E364+D365</f>
        <v/>
      </c>
      <c r="F365" s="1571">
        <f>F364-D364</f>
        <v/>
      </c>
      <c r="G365" s="1572">
        <f>G364-D365</f>
        <v/>
      </c>
      <c r="H365" s="1639" t="n"/>
      <c r="K365" s="1578" t="n"/>
    </row>
    <row r="366" ht="39.75" customFormat="1" customHeight="1" s="1549">
      <c r="A366" s="1568" t="inlineStr">
        <is>
          <t>JT.#149</t>
        </is>
      </c>
      <c r="B366" s="1568" t="inlineStr">
        <is>
          <t>3-1/2" TUBING 9.2 LB/FT ALLOY 28 TSH BL</t>
        </is>
      </c>
      <c r="C366" s="1569" t="n">
        <v>31</v>
      </c>
      <c r="D366" s="1570">
        <f>C366-0.301</f>
        <v/>
      </c>
      <c r="E366" s="1571">
        <f>E365+D366</f>
        <v/>
      </c>
      <c r="F366" s="1571">
        <f>F365-D365</f>
        <v/>
      </c>
      <c r="G366" s="1572">
        <f>G365-D366</f>
        <v/>
      </c>
      <c r="H366" s="1593" t="inlineStr">
        <is>
          <t>.</t>
        </is>
      </c>
      <c r="K366" s="1578" t="n"/>
    </row>
    <row r="367" ht="39.75" customFormat="1" customHeight="1" s="1549">
      <c r="A367" s="1568" t="inlineStr">
        <is>
          <t>JT.#150</t>
        </is>
      </c>
      <c r="B367" s="1568" t="inlineStr">
        <is>
          <t>3-1/2" TUBING 9.2 LB/FT ALLOY 28 TSH BL</t>
        </is>
      </c>
      <c r="C367" s="1569" t="n">
        <v>31</v>
      </c>
      <c r="D367" s="1570">
        <f>C367-0.301</f>
        <v/>
      </c>
      <c r="E367" s="1571">
        <f>E366+D367</f>
        <v/>
      </c>
      <c r="F367" s="1571">
        <f>F366-D366</f>
        <v/>
      </c>
      <c r="G367" s="1572">
        <f>G366-D367</f>
        <v/>
      </c>
      <c r="H367" s="1594" t="inlineStr">
        <is>
          <t xml:space="preserve">FILL UP STRING </t>
        </is>
      </c>
      <c r="K367" s="1578" t="n"/>
    </row>
    <row r="368" ht="39.75" customFormat="1" customHeight="1" s="1549">
      <c r="A368" s="1568" t="inlineStr">
        <is>
          <t>JT.#151</t>
        </is>
      </c>
      <c r="B368" s="1568" t="inlineStr">
        <is>
          <t>3-1/2" TUBING 9.2 LB/FT ALLOY 28 TSH BL</t>
        </is>
      </c>
      <c r="C368" s="1569" t="n">
        <v>31</v>
      </c>
      <c r="D368" s="1570">
        <f>C368-0.301</f>
        <v/>
      </c>
      <c r="E368" s="1571">
        <f>E367+D368</f>
        <v/>
      </c>
      <c r="F368" s="1571">
        <f>F367-D367</f>
        <v/>
      </c>
      <c r="G368" s="1572">
        <f>G367-D368</f>
        <v/>
      </c>
      <c r="H368" s="1639" t="n"/>
      <c r="K368" s="1578" t="n"/>
    </row>
    <row r="369" ht="39.75" customFormat="1" customHeight="1" s="1549">
      <c r="A369" s="1568" t="inlineStr">
        <is>
          <t>JT.#152</t>
        </is>
      </c>
      <c r="B369" s="1568" t="inlineStr">
        <is>
          <t>3-1/2" TUBING 9.2 LB/FT ALLOY 28 TSH BL</t>
        </is>
      </c>
      <c r="C369" s="1569" t="n">
        <v>31</v>
      </c>
      <c r="D369" s="1570">
        <f>C369-0.301</f>
        <v/>
      </c>
      <c r="E369" s="1571">
        <f>E368+D369</f>
        <v/>
      </c>
      <c r="F369" s="1571">
        <f>F368-D368</f>
        <v/>
      </c>
      <c r="G369" s="1572">
        <f>G368-D369</f>
        <v/>
      </c>
      <c r="K369" s="1578" t="n"/>
    </row>
    <row r="370" ht="39.75" customFormat="1" customHeight="1" s="1549">
      <c r="A370" s="1568" t="inlineStr">
        <is>
          <t>JT.#153</t>
        </is>
      </c>
      <c r="B370" s="1568" t="inlineStr">
        <is>
          <t>3-1/2" TUBING 9.2 LB/FT ALLOY 28 TSH BL</t>
        </is>
      </c>
      <c r="C370" s="1569" t="n">
        <v>31</v>
      </c>
      <c r="D370" s="1570">
        <f>C370-0.301</f>
        <v/>
      </c>
      <c r="E370" s="1571">
        <f>E369+D370</f>
        <v/>
      </c>
      <c r="F370" s="1571">
        <f>F369-D369</f>
        <v/>
      </c>
      <c r="G370" s="1572">
        <f>G369-D370</f>
        <v/>
      </c>
      <c r="H370" s="1639" t="n"/>
      <c r="K370" s="1578" t="n"/>
    </row>
    <row r="371" ht="39.75" customFormat="1" customHeight="1" s="1549">
      <c r="A371" s="1568" t="inlineStr">
        <is>
          <t>JT.#154</t>
        </is>
      </c>
      <c r="B371" s="1568" t="inlineStr">
        <is>
          <t>3-1/2" TUBING 9.2 LB/FT ALLOY 28 TSH BL</t>
        </is>
      </c>
      <c r="C371" s="1569" t="n">
        <v>31</v>
      </c>
      <c r="D371" s="1570">
        <f>C371-0.301</f>
        <v/>
      </c>
      <c r="E371" s="1571">
        <f>E370+D371</f>
        <v/>
      </c>
      <c r="F371" s="1571">
        <f>F370-D370</f>
        <v/>
      </c>
      <c r="G371" s="1572">
        <f>G370-D371</f>
        <v/>
      </c>
      <c r="H371" s="1639" t="n"/>
      <c r="K371" s="1578" t="n"/>
    </row>
    <row r="372" ht="39.75" customFormat="1" customHeight="1" s="1549">
      <c r="A372" s="1568" t="inlineStr">
        <is>
          <t>JT.#155</t>
        </is>
      </c>
      <c r="B372" s="1568" t="inlineStr">
        <is>
          <t>3-1/2" TUBING 9.2 LB/FT ALLOY 28 TSH BL</t>
        </is>
      </c>
      <c r="C372" s="1569" t="n">
        <v>31</v>
      </c>
      <c r="D372" s="1570">
        <f>C372-0.301</f>
        <v/>
      </c>
      <c r="E372" s="1571">
        <f>E371+D372</f>
        <v/>
      </c>
      <c r="F372" s="1571">
        <f>F371-D371</f>
        <v/>
      </c>
      <c r="G372" s="1572">
        <f>G371-D372</f>
        <v/>
      </c>
      <c r="H372" s="1639" t="n"/>
      <c r="K372" s="1578" t="n"/>
    </row>
    <row r="373" ht="39.75" customFormat="1" customHeight="1" s="1549">
      <c r="A373" s="1568" t="inlineStr">
        <is>
          <t>JT.#156</t>
        </is>
      </c>
      <c r="B373" s="1568" t="inlineStr">
        <is>
          <t>3-1/2" TUBING 9.2 LB/FT ALLOY 28 TSH BL</t>
        </is>
      </c>
      <c r="C373" s="1569" t="n">
        <v>31</v>
      </c>
      <c r="D373" s="1570">
        <f>C373-0.301</f>
        <v/>
      </c>
      <c r="E373" s="1571">
        <f>E372+D373</f>
        <v/>
      </c>
      <c r="F373" s="1571">
        <f>F372-D372</f>
        <v/>
      </c>
      <c r="G373" s="1572">
        <f>G372-D373</f>
        <v/>
      </c>
      <c r="H373" s="1639" t="n"/>
      <c r="K373" s="1578" t="n"/>
    </row>
    <row r="374" ht="39.75" customFormat="1" customHeight="1" s="1549">
      <c r="A374" s="1568" t="inlineStr">
        <is>
          <t>JT.#157</t>
        </is>
      </c>
      <c r="B374" s="1568" t="inlineStr">
        <is>
          <t>3-1/2" TUBING 9.2 LB/FT ALLOY 28 TSH BL</t>
        </is>
      </c>
      <c r="C374" s="1569" t="n">
        <v>31</v>
      </c>
      <c r="D374" s="1570">
        <f>C374-0.301</f>
        <v/>
      </c>
      <c r="E374" s="1571">
        <f>E373+D374</f>
        <v/>
      </c>
      <c r="F374" s="1571">
        <f>F373-D373</f>
        <v/>
      </c>
      <c r="G374" s="1572">
        <f>G373-D374</f>
        <v/>
      </c>
      <c r="H374" s="1639" t="n"/>
      <c r="K374" s="1578" t="n"/>
    </row>
    <row r="375" ht="39.75" customFormat="1" customHeight="1" s="1549">
      <c r="A375" s="1568" t="inlineStr">
        <is>
          <t>JT.#158</t>
        </is>
      </c>
      <c r="B375" s="1568" t="inlineStr">
        <is>
          <t>3-1/2" TUBING 9.2 LB/FT ALLOY 28 TSH BL</t>
        </is>
      </c>
      <c r="C375" s="1569" t="n">
        <v>31</v>
      </c>
      <c r="D375" s="1570">
        <f>C375-0.301</f>
        <v/>
      </c>
      <c r="E375" s="1571">
        <f>E374+D375</f>
        <v/>
      </c>
      <c r="F375" s="1571">
        <f>F374-D374</f>
        <v/>
      </c>
      <c r="G375" s="1572">
        <f>G374-D375</f>
        <v/>
      </c>
      <c r="H375" s="1639" t="n"/>
      <c r="K375" s="1578" t="n"/>
    </row>
    <row r="376" ht="39.75" customFormat="1" customHeight="1" s="1549">
      <c r="A376" s="1568" t="inlineStr">
        <is>
          <t>JT.#159</t>
        </is>
      </c>
      <c r="B376" s="1568" t="inlineStr">
        <is>
          <t>3-1/2" TUBING 9.2 LB/FT ALLOY 28 TSH BL</t>
        </is>
      </c>
      <c r="C376" s="1569" t="n">
        <v>31</v>
      </c>
      <c r="D376" s="1570">
        <f>C376-0.301</f>
        <v/>
      </c>
      <c r="E376" s="1571">
        <f>E375+D376</f>
        <v/>
      </c>
      <c r="F376" s="1571">
        <f>F375-D375</f>
        <v/>
      </c>
      <c r="G376" s="1572">
        <f>G375-D376</f>
        <v/>
      </c>
      <c r="H376" s="1593" t="inlineStr">
        <is>
          <t>.</t>
        </is>
      </c>
      <c r="K376" s="1578" t="n"/>
    </row>
    <row r="377" ht="39.75" customFormat="1" customHeight="1" s="1549">
      <c r="A377" s="1568" t="inlineStr">
        <is>
          <t>JT.#160</t>
        </is>
      </c>
      <c r="B377" s="1568" t="inlineStr">
        <is>
          <t>3-1/2" TUBING 9.2 LB/FT ALLOY 28 TSH BL</t>
        </is>
      </c>
      <c r="C377" s="1569" t="n">
        <v>31</v>
      </c>
      <c r="D377" s="1570">
        <f>C377-0.301</f>
        <v/>
      </c>
      <c r="E377" s="1571">
        <f>E376+D377</f>
        <v/>
      </c>
      <c r="F377" s="1571">
        <f>F376-D376</f>
        <v/>
      </c>
      <c r="G377" s="1572">
        <f>G376-D377</f>
        <v/>
      </c>
      <c r="H377" s="1594" t="inlineStr">
        <is>
          <t xml:space="preserve">FILL UP STRING </t>
        </is>
      </c>
      <c r="K377" s="1578" t="n"/>
    </row>
    <row r="378" ht="39.75" customFormat="1" customHeight="1" s="1549">
      <c r="A378" s="1568" t="inlineStr">
        <is>
          <t>JT.#161</t>
        </is>
      </c>
      <c r="B378" s="1568" t="inlineStr">
        <is>
          <t>3-1/2" TUBING 9.2 LB/FT ALLOY 28 TSH BL</t>
        </is>
      </c>
      <c r="C378" s="1569" t="n">
        <v>31</v>
      </c>
      <c r="D378" s="1570">
        <f>C378-0.301</f>
        <v/>
      </c>
      <c r="E378" s="1571">
        <f>E377+D378</f>
        <v/>
      </c>
      <c r="F378" s="1571">
        <f>F377-D377</f>
        <v/>
      </c>
      <c r="G378" s="1572">
        <f>G377-D378</f>
        <v/>
      </c>
      <c r="H378" s="1639" t="n"/>
      <c r="K378" s="1578" t="n"/>
    </row>
    <row r="379" ht="39.75" customFormat="1" customHeight="1" s="1549">
      <c r="A379" s="1568" t="inlineStr">
        <is>
          <t>JT.#162</t>
        </is>
      </c>
      <c r="B379" s="1568" t="inlineStr">
        <is>
          <t>3-1/2" TUBING 9.2 LB/FT ALLOY 28 TSH BL</t>
        </is>
      </c>
      <c r="C379" s="1569" t="n">
        <v>31</v>
      </c>
      <c r="D379" s="1570">
        <f>C379-0.301</f>
        <v/>
      </c>
      <c r="E379" s="1571">
        <f>E378+D379</f>
        <v/>
      </c>
      <c r="F379" s="1571">
        <f>F378-D378</f>
        <v/>
      </c>
      <c r="G379" s="1572">
        <f>G378-D379</f>
        <v/>
      </c>
      <c r="H379" s="1639" t="n"/>
      <c r="K379" s="1578" t="n"/>
    </row>
    <row r="380" ht="39.75" customFormat="1" customHeight="1" s="1549">
      <c r="A380" s="1568" t="inlineStr">
        <is>
          <t>JT.#163</t>
        </is>
      </c>
      <c r="B380" s="1568" t="inlineStr">
        <is>
          <t>3-1/2" TUBING 9.2 LB/FT ALLOY 28 TSH BL</t>
        </is>
      </c>
      <c r="C380" s="1569" t="n">
        <v>31</v>
      </c>
      <c r="D380" s="1570">
        <f>C380-0.301</f>
        <v/>
      </c>
      <c r="E380" s="1571">
        <f>E379+D380</f>
        <v/>
      </c>
      <c r="F380" s="1571">
        <f>F379-D379</f>
        <v/>
      </c>
      <c r="G380" s="1572">
        <f>G379-D380</f>
        <v/>
      </c>
      <c r="H380" s="1639" t="n"/>
      <c r="K380" s="1578" t="n"/>
    </row>
    <row r="381" ht="39.75" customFormat="1" customHeight="1" s="1549">
      <c r="A381" s="1568" t="inlineStr">
        <is>
          <t>JT.#164</t>
        </is>
      </c>
      <c r="B381" s="1568" t="inlineStr">
        <is>
          <t>3-1/2" TUBING 9.2 LB/FT ALLOY 28 TSH BL</t>
        </is>
      </c>
      <c r="C381" s="1569" t="n">
        <v>31</v>
      </c>
      <c r="D381" s="1570">
        <f>C381-0.301</f>
        <v/>
      </c>
      <c r="E381" s="1571">
        <f>E380+D381</f>
        <v/>
      </c>
      <c r="F381" s="1571">
        <f>F380-D380</f>
        <v/>
      </c>
      <c r="G381" s="1572">
        <f>G380-D381</f>
        <v/>
      </c>
      <c r="H381" s="1639" t="n"/>
      <c r="K381" s="1578" t="n"/>
    </row>
    <row r="382" ht="39.75" customFormat="1" customHeight="1" s="1549">
      <c r="A382" s="1568" t="inlineStr">
        <is>
          <t>JT.#165</t>
        </is>
      </c>
      <c r="B382" s="1568" t="inlineStr">
        <is>
          <t>3-1/2" TUBING 9.2 LB/FT ALLOY 28 TSH BL</t>
        </is>
      </c>
      <c r="C382" s="1569" t="n">
        <v>31</v>
      </c>
      <c r="D382" s="1570">
        <f>C382-0.301</f>
        <v/>
      </c>
      <c r="E382" s="1571">
        <f>E381+D382</f>
        <v/>
      </c>
      <c r="F382" s="1571">
        <f>F381-D381</f>
        <v/>
      </c>
      <c r="G382" s="1572">
        <f>G381-D382</f>
        <v/>
      </c>
      <c r="H382" s="1639" t="n"/>
      <c r="K382" s="1578" t="n"/>
    </row>
    <row r="383" ht="39.75" customFormat="1" customHeight="1" s="1549">
      <c r="A383" s="1568" t="inlineStr">
        <is>
          <t>JT.#166</t>
        </is>
      </c>
      <c r="B383" s="1568" t="inlineStr">
        <is>
          <t>3-1/2" TUBING 9.2 LB/FT ALLOY 28 TSH BL</t>
        </is>
      </c>
      <c r="C383" s="1569" t="n">
        <v>31</v>
      </c>
      <c r="D383" s="1570">
        <f>C383-0.301</f>
        <v/>
      </c>
      <c r="E383" s="1571">
        <f>E382+D383</f>
        <v/>
      </c>
      <c r="F383" s="1571">
        <f>F382-D382</f>
        <v/>
      </c>
      <c r="G383" s="1572">
        <f>G382-D383</f>
        <v/>
      </c>
      <c r="H383" s="1639" t="n"/>
      <c r="K383" s="1578" t="n"/>
    </row>
    <row r="384" ht="39.75" customFormat="1" customHeight="1" s="1549">
      <c r="A384" s="1568" t="inlineStr">
        <is>
          <t>JT.#167</t>
        </is>
      </c>
      <c r="B384" s="1568" t="inlineStr">
        <is>
          <t>3-1/2" TUBING 9.2 LB/FT ALLOY 28 TSH BL</t>
        </is>
      </c>
      <c r="C384" s="1569" t="n">
        <v>31</v>
      </c>
      <c r="D384" s="1570">
        <f>C384-0.301</f>
        <v/>
      </c>
      <c r="E384" s="1571">
        <f>E383+D384</f>
        <v/>
      </c>
      <c r="F384" s="1571">
        <f>F383-D383</f>
        <v/>
      </c>
      <c r="G384" s="1572">
        <f>G383-D384</f>
        <v/>
      </c>
      <c r="H384" s="1639" t="n"/>
      <c r="K384" s="1578" t="n"/>
    </row>
    <row r="385" ht="39.75" customFormat="1" customHeight="1" s="1549">
      <c r="A385" s="1568" t="inlineStr">
        <is>
          <t>JT.#168</t>
        </is>
      </c>
      <c r="B385" s="1568" t="inlineStr">
        <is>
          <t>3-1/2" TUBING 9.2 LB/FT ALLOY 28 TSH BL</t>
        </is>
      </c>
      <c r="C385" s="1569" t="n">
        <v>31</v>
      </c>
      <c r="D385" s="1570">
        <f>C385-0.301</f>
        <v/>
      </c>
      <c r="E385" s="1571">
        <f>E384+D385</f>
        <v/>
      </c>
      <c r="F385" s="1571">
        <f>F384-D384</f>
        <v/>
      </c>
      <c r="G385" s="1572">
        <f>G384-D385</f>
        <v/>
      </c>
      <c r="H385" s="1639" t="n"/>
      <c r="K385" s="1578" t="n"/>
    </row>
    <row r="386" ht="39.75" customFormat="1" customHeight="1" s="1549">
      <c r="A386" s="1568" t="inlineStr">
        <is>
          <t>JT.#169</t>
        </is>
      </c>
      <c r="B386" s="1568" t="inlineStr">
        <is>
          <t>3-1/2" TUBING 9.2 LB/FT ALLOY 28 TSH BL</t>
        </is>
      </c>
      <c r="C386" s="1569" t="n">
        <v>31</v>
      </c>
      <c r="D386" s="1607">
        <f>C386-0.301</f>
        <v/>
      </c>
      <c r="E386" s="1571">
        <f>E385+D386</f>
        <v/>
      </c>
      <c r="F386" s="1571">
        <f>F385-D385</f>
        <v/>
      </c>
      <c r="G386" s="1572">
        <f>G385-D386</f>
        <v/>
      </c>
      <c r="H386" s="1594" t="inlineStr">
        <is>
          <t xml:space="preserve">FILL UP STRING </t>
        </is>
      </c>
      <c r="K386" s="1578" t="n"/>
    </row>
    <row r="387" ht="39.75" customFormat="1" customHeight="1" s="1549">
      <c r="A387" s="1568" t="inlineStr">
        <is>
          <t>JT.#170</t>
        </is>
      </c>
      <c r="B387" s="1568" t="inlineStr">
        <is>
          <t>3-1/2" TUBING 9.2 LB/FT ALLOY 28 TSH BL</t>
        </is>
      </c>
      <c r="C387" s="1569" t="n">
        <v>31</v>
      </c>
      <c r="D387" s="1570">
        <f>C387-0.301</f>
        <v/>
      </c>
      <c r="E387" s="1571">
        <f>E386+D387</f>
        <v/>
      </c>
      <c r="F387" s="1571">
        <f>F386-D386</f>
        <v/>
      </c>
      <c r="G387" s="1572">
        <f>G386-D387</f>
        <v/>
      </c>
      <c r="H387" s="1593" t="n"/>
      <c r="K387" s="1578" t="n"/>
    </row>
    <row r="388" ht="39.75" customFormat="1" customHeight="1" s="1549">
      <c r="A388" s="1568" t="inlineStr">
        <is>
          <t>JT.#171</t>
        </is>
      </c>
      <c r="B388" s="1568" t="inlineStr">
        <is>
          <t>3-1/2" TUBING 9.2 LB/FT ALLOY 28 TSH BL</t>
        </is>
      </c>
      <c r="C388" s="1569" t="n">
        <v>31</v>
      </c>
      <c r="D388" s="1570">
        <f>C388-0.301</f>
        <v/>
      </c>
      <c r="E388" s="1571">
        <f>E387+D388</f>
        <v/>
      </c>
      <c r="F388" s="1571">
        <f>F387-D387</f>
        <v/>
      </c>
      <c r="G388" s="1572">
        <f>G387-D388</f>
        <v/>
      </c>
      <c r="K388" s="1578" t="n"/>
    </row>
    <row r="389" ht="39.75" customFormat="1" customHeight="1" s="1549">
      <c r="A389" s="1568" t="inlineStr">
        <is>
          <t>JT.#172</t>
        </is>
      </c>
      <c r="B389" s="1568" t="inlineStr">
        <is>
          <t>3-1/2" TUBING 9.2 LB/FT ALLOY 28 TSH BL</t>
        </is>
      </c>
      <c r="C389" s="1569" t="n">
        <v>31</v>
      </c>
      <c r="D389" s="1570">
        <f>C389-0.301</f>
        <v/>
      </c>
      <c r="E389" s="1571">
        <f>E388+D389</f>
        <v/>
      </c>
      <c r="F389" s="1571">
        <f>F388-D388</f>
        <v/>
      </c>
      <c r="G389" s="1572">
        <f>G388-D389</f>
        <v/>
      </c>
      <c r="H389" s="1639" t="n"/>
      <c r="K389" s="1578" t="n"/>
    </row>
    <row r="390" ht="39.75" customFormat="1" customHeight="1" s="1549">
      <c r="A390" s="1568" t="inlineStr">
        <is>
          <t>JT.#173</t>
        </is>
      </c>
      <c r="B390" s="1568" t="inlineStr">
        <is>
          <t>3-1/2" TUBING 9.2 LB/FT ALLOY 28 TSH BL</t>
        </is>
      </c>
      <c r="C390" s="1569" t="n">
        <v>31</v>
      </c>
      <c r="D390" s="1570">
        <f>C390-0.301</f>
        <v/>
      </c>
      <c r="E390" s="1571">
        <f>E389+D390</f>
        <v/>
      </c>
      <c r="F390" s="1571">
        <f>F389-D389</f>
        <v/>
      </c>
      <c r="G390" s="1572">
        <f>G389-D390</f>
        <v/>
      </c>
      <c r="K390" s="1578" t="n"/>
    </row>
    <row r="391" ht="39.75" customFormat="1" customHeight="1" s="1549">
      <c r="A391" s="1568" t="inlineStr">
        <is>
          <t>JT.#174</t>
        </is>
      </c>
      <c r="B391" s="1568" t="inlineStr">
        <is>
          <t>3-1/2" TUBING 9.2 LB/FT ALLOY 28 TSH BL</t>
        </is>
      </c>
      <c r="C391" s="1569" t="n">
        <v>31</v>
      </c>
      <c r="D391" s="1570">
        <f>C391-0.301</f>
        <v/>
      </c>
      <c r="E391" s="1571">
        <f>E390+D391</f>
        <v/>
      </c>
      <c r="F391" s="1571">
        <f>F390-D390</f>
        <v/>
      </c>
      <c r="G391" s="1572">
        <f>G390-D391</f>
        <v/>
      </c>
      <c r="H391" s="1639" t="n"/>
      <c r="K391" s="1578" t="n"/>
    </row>
    <row r="392" ht="39.75" customFormat="1" customHeight="1" s="1549">
      <c r="A392" s="1568" t="inlineStr">
        <is>
          <t>JT.#175</t>
        </is>
      </c>
      <c r="B392" s="1568" t="inlineStr">
        <is>
          <t>3-1/2" TUBING 9.2 LB/FT ALLOY 28 TSH BL</t>
        </is>
      </c>
      <c r="C392" s="1569" t="n">
        <v>31</v>
      </c>
      <c r="D392" s="1570">
        <f>C392-0.301</f>
        <v/>
      </c>
      <c r="E392" s="1571">
        <f>E391+D392</f>
        <v/>
      </c>
      <c r="F392" s="1571">
        <f>F391-D391</f>
        <v/>
      </c>
      <c r="G392" s="1572">
        <f>G391-D392</f>
        <v/>
      </c>
      <c r="H392" s="1639" t="n"/>
      <c r="K392" s="1578" t="n"/>
    </row>
    <row r="393" ht="39.75" customFormat="1" customHeight="1" s="1549">
      <c r="A393" s="1568" t="inlineStr">
        <is>
          <t>JT.#176</t>
        </is>
      </c>
      <c r="B393" s="1568" t="inlineStr">
        <is>
          <t>3-1/2" TUBING 9.2 LB/FT ALLOY 28 TSH BL</t>
        </is>
      </c>
      <c r="C393" s="1569" t="n">
        <v>31</v>
      </c>
      <c r="D393" s="1570">
        <f>C393-0.301</f>
        <v/>
      </c>
      <c r="E393" s="1571">
        <f>E392+D393</f>
        <v/>
      </c>
      <c r="F393" s="1571">
        <f>F392-D392</f>
        <v/>
      </c>
      <c r="G393" s="1572">
        <f>G392-D393</f>
        <v/>
      </c>
      <c r="H393" s="1639" t="n"/>
      <c r="K393" s="1578" t="n"/>
    </row>
    <row r="394" ht="39.75" customFormat="1" customHeight="1" s="1549">
      <c r="A394" s="1568" t="inlineStr">
        <is>
          <t>JT.#177</t>
        </is>
      </c>
      <c r="B394" s="1568" t="inlineStr">
        <is>
          <t>3-1/2" TUBING 9.2 LB/FT ALLOY 28 TSH BL</t>
        </is>
      </c>
      <c r="C394" s="1569" t="n">
        <v>31</v>
      </c>
      <c r="D394" s="1570">
        <f>C394-0.301</f>
        <v/>
      </c>
      <c r="E394" s="1571">
        <f>E393+D394</f>
        <v/>
      </c>
      <c r="F394" s="1571">
        <f>F393-D393</f>
        <v/>
      </c>
      <c r="G394" s="1572">
        <f>G393-D394</f>
        <v/>
      </c>
      <c r="H394" s="1639" t="n"/>
      <c r="K394" s="1578" t="n"/>
    </row>
    <row r="395" ht="39.75" customFormat="1" customHeight="1" s="1549">
      <c r="A395" s="1568" t="inlineStr">
        <is>
          <t>JT.#178</t>
        </is>
      </c>
      <c r="B395" s="1568" t="inlineStr">
        <is>
          <t>3-1/2" TUBING 9.2 LB/FT ALLOY 28 TSH BL</t>
        </is>
      </c>
      <c r="C395" s="1569" t="n">
        <v>31</v>
      </c>
      <c r="D395" s="1570">
        <f>C395-0.301</f>
        <v/>
      </c>
      <c r="E395" s="1571">
        <f>E394+D395</f>
        <v/>
      </c>
      <c r="F395" s="1571">
        <f>F394-D394</f>
        <v/>
      </c>
      <c r="G395" s="1572">
        <f>G394-D395</f>
        <v/>
      </c>
      <c r="H395" s="1639" t="n"/>
      <c r="K395" s="1578" t="n"/>
    </row>
    <row r="396" ht="39.75" customFormat="1" customHeight="1" s="1549">
      <c r="A396" s="1568" t="inlineStr">
        <is>
          <t>JT.#179</t>
        </is>
      </c>
      <c r="B396" s="1568" t="inlineStr">
        <is>
          <t>3-1/2" TUBING 9.2 LB/FT ALLOY 28 TSH BL</t>
        </is>
      </c>
      <c r="C396" s="1569" t="n">
        <v>31</v>
      </c>
      <c r="D396" s="1570">
        <f>C396-0.301</f>
        <v/>
      </c>
      <c r="E396" s="1571">
        <f>E395+D396</f>
        <v/>
      </c>
      <c r="F396" s="1571">
        <f>F395-D395</f>
        <v/>
      </c>
      <c r="G396" s="1572">
        <f>G395-D396</f>
        <v/>
      </c>
      <c r="H396" s="1639" t="n"/>
      <c r="K396" s="1578" t="n"/>
    </row>
    <row r="397" ht="39.75" customFormat="1" customHeight="1" s="1549">
      <c r="A397" s="1568" t="inlineStr">
        <is>
          <t>JT.#180</t>
        </is>
      </c>
      <c r="B397" s="1568" t="inlineStr">
        <is>
          <t>3-1/2" TUBING 9.2 LB/FT ALLOY 28 TSH BL</t>
        </is>
      </c>
      <c r="C397" s="1569" t="n">
        <v>31</v>
      </c>
      <c r="D397" s="1570">
        <f>C397-0.301</f>
        <v/>
      </c>
      <c r="E397" s="1571">
        <f>E396+D397</f>
        <v/>
      </c>
      <c r="F397" s="1571">
        <f>F396-D396</f>
        <v/>
      </c>
      <c r="G397" s="1572">
        <f>G396-D397</f>
        <v/>
      </c>
      <c r="H397" s="1594" t="inlineStr">
        <is>
          <t xml:space="preserve">FILL UP STRING </t>
        </is>
      </c>
      <c r="K397" s="1578" t="n"/>
    </row>
    <row r="398" ht="39.75" customFormat="1" customHeight="1" s="1549">
      <c r="A398" s="1568" t="inlineStr">
        <is>
          <t>JT.#181</t>
        </is>
      </c>
      <c r="B398" s="1568" t="inlineStr">
        <is>
          <t>3-1/2" TUBING 9.2 LB/FT ALLOY 28 TSH BL</t>
        </is>
      </c>
      <c r="C398" s="1569" t="n">
        <v>31</v>
      </c>
      <c r="D398" s="1570">
        <f>C398-0.301</f>
        <v/>
      </c>
      <c r="E398" s="1571">
        <f>E397+D398</f>
        <v/>
      </c>
      <c r="F398" s="1571">
        <f>F397-D397</f>
        <v/>
      </c>
      <c r="G398" s="1572">
        <f>G397-D398</f>
        <v/>
      </c>
      <c r="K398" s="1578" t="n"/>
    </row>
    <row r="399" ht="39.75" customFormat="1" customHeight="1" s="1549">
      <c r="A399" s="1568" t="inlineStr">
        <is>
          <t>JT.#182</t>
        </is>
      </c>
      <c r="B399" s="1568" t="inlineStr">
        <is>
          <t>3-1/2" TUBING 9.2 LB/FT ALLOY 28 TSH BL</t>
        </is>
      </c>
      <c r="C399" s="1569" t="n">
        <v>31</v>
      </c>
      <c r="D399" s="1570">
        <f>C399-0.301</f>
        <v/>
      </c>
      <c r="E399" s="1571">
        <f>E398+D399</f>
        <v/>
      </c>
      <c r="F399" s="1571">
        <f>F398-D398</f>
        <v/>
      </c>
      <c r="G399" s="1572">
        <f>G398-D399</f>
        <v/>
      </c>
      <c r="H399" s="1639" t="n"/>
      <c r="K399" s="1578" t="n"/>
    </row>
    <row r="400" ht="39.75" customFormat="1" customHeight="1" s="1549">
      <c r="A400" s="1568" t="inlineStr">
        <is>
          <t>JT.#183</t>
        </is>
      </c>
      <c r="B400" s="1568" t="inlineStr">
        <is>
          <t>3-1/2" TUBING 9.2 LB/FT ALLOY 28 TSH BL</t>
        </is>
      </c>
      <c r="C400" s="1569" t="n">
        <v>31</v>
      </c>
      <c r="D400" s="1570">
        <f>C400-0.301</f>
        <v/>
      </c>
      <c r="E400" s="1571">
        <f>E399+D400</f>
        <v/>
      </c>
      <c r="F400" s="1571">
        <f>F399-D399</f>
        <v/>
      </c>
      <c r="G400" s="1572">
        <f>G399-D400</f>
        <v/>
      </c>
      <c r="K400" s="1578" t="n"/>
    </row>
    <row r="401" ht="39.75" customFormat="1" customHeight="1" s="1549">
      <c r="A401" s="1568" t="inlineStr">
        <is>
          <t>JT.#184</t>
        </is>
      </c>
      <c r="B401" s="1568" t="inlineStr">
        <is>
          <t>3-1/2" TUBING 9.2 LB/FT ALLOY 28 TSH BL</t>
        </is>
      </c>
      <c r="C401" s="1569" t="n">
        <v>31</v>
      </c>
      <c r="D401" s="1570">
        <f>C401-0.301</f>
        <v/>
      </c>
      <c r="E401" s="1571">
        <f>E400+D401</f>
        <v/>
      </c>
      <c r="F401" s="1571">
        <f>F400-D400</f>
        <v/>
      </c>
      <c r="G401" s="1572">
        <f>G400-D401</f>
        <v/>
      </c>
      <c r="H401" s="1639" t="n"/>
      <c r="K401" s="1578" t="n"/>
    </row>
    <row r="402" ht="39.75" customFormat="1" customHeight="1" s="1549">
      <c r="A402" s="1568" t="inlineStr">
        <is>
          <t>JT.#185</t>
        </is>
      </c>
      <c r="B402" s="1568" t="inlineStr">
        <is>
          <t>3-1/2" TUBING 9.2 LB/FT ALLOY 28 TSH BL</t>
        </is>
      </c>
      <c r="C402" s="1569" t="n">
        <v>31</v>
      </c>
      <c r="D402" s="1570">
        <f>C402-0.301</f>
        <v/>
      </c>
      <c r="E402" s="1571">
        <f>E401+D402</f>
        <v/>
      </c>
      <c r="F402" s="1571">
        <f>F401-D401</f>
        <v/>
      </c>
      <c r="G402" s="1572">
        <f>G401-D402</f>
        <v/>
      </c>
      <c r="H402" s="1639" t="n"/>
      <c r="K402" s="1578" t="n"/>
    </row>
    <row r="403" ht="39.75" customFormat="1" customHeight="1" s="1549">
      <c r="A403" s="1568" t="inlineStr">
        <is>
          <t>JT.#186</t>
        </is>
      </c>
      <c r="B403" s="1568" t="inlineStr">
        <is>
          <t>3-1/2" TUBING 9.2 LB/FT ALLOY 28 TSH BL</t>
        </is>
      </c>
      <c r="C403" s="1569" t="n">
        <v>31</v>
      </c>
      <c r="D403" s="1570">
        <f>C403-0.301</f>
        <v/>
      </c>
      <c r="E403" s="1571">
        <f>E402+D403</f>
        <v/>
      </c>
      <c r="F403" s="1571">
        <f>F402-D402</f>
        <v/>
      </c>
      <c r="G403" s="1572">
        <f>G402-D403</f>
        <v/>
      </c>
      <c r="H403" s="1639" t="n"/>
      <c r="K403" s="1578" t="n"/>
    </row>
    <row r="404" ht="39.75" customFormat="1" customHeight="1" s="1549">
      <c r="A404" s="1568" t="inlineStr">
        <is>
          <t>JT.#187</t>
        </is>
      </c>
      <c r="B404" s="1568" t="inlineStr">
        <is>
          <t>3-1/2" TUBING 9.2 LB/FT ALLOY 28 TSH BL</t>
        </is>
      </c>
      <c r="C404" s="1569" t="n">
        <v>31</v>
      </c>
      <c r="D404" s="1570">
        <f>C404-0.301</f>
        <v/>
      </c>
      <c r="E404" s="1571">
        <f>E403+D404</f>
        <v/>
      </c>
      <c r="F404" s="1571">
        <f>F403-D403</f>
        <v/>
      </c>
      <c r="G404" s="1572">
        <f>G403-D404</f>
        <v/>
      </c>
      <c r="H404" s="1639" t="n"/>
      <c r="K404" s="1578" t="n"/>
    </row>
    <row r="405" ht="39.75" customFormat="1" customHeight="1" s="1549">
      <c r="A405" s="1568" t="inlineStr">
        <is>
          <t>JT.#188</t>
        </is>
      </c>
      <c r="B405" s="1568" t="inlineStr">
        <is>
          <t>3-1/2" TUBING 9.2 LB/FT ALLOY 28 TSH BL</t>
        </is>
      </c>
      <c r="C405" s="1569" t="n">
        <v>31</v>
      </c>
      <c r="D405" s="1570">
        <f>C405-0.301</f>
        <v/>
      </c>
      <c r="E405" s="1571">
        <f>E404+D405</f>
        <v/>
      </c>
      <c r="F405" s="1571">
        <f>F404-D404</f>
        <v/>
      </c>
      <c r="G405" s="1572">
        <f>G404-D405</f>
        <v/>
      </c>
      <c r="H405" s="1639" t="n"/>
      <c r="K405" s="1578" t="n"/>
    </row>
    <row r="406" ht="39.75" customFormat="1" customHeight="1" s="1549">
      <c r="A406" s="1568" t="inlineStr">
        <is>
          <t>JT.#189</t>
        </is>
      </c>
      <c r="B406" s="1568" t="inlineStr">
        <is>
          <t>3-1/2" TUBING 9.2 LB/FT ALLOY 28 TSH BL</t>
        </is>
      </c>
      <c r="C406" s="1569" t="n">
        <v>31</v>
      </c>
      <c r="D406" s="1570">
        <f>C406-0.301</f>
        <v/>
      </c>
      <c r="E406" s="1571">
        <f>E405+D406</f>
        <v/>
      </c>
      <c r="F406" s="1571">
        <f>F405-D405</f>
        <v/>
      </c>
      <c r="G406" s="1572">
        <f>G405-D406</f>
        <v/>
      </c>
      <c r="H406" s="1594" t="inlineStr">
        <is>
          <t xml:space="preserve">FILL UP STRING </t>
        </is>
      </c>
      <c r="K406" s="1578" t="n"/>
    </row>
    <row r="407" ht="39.75" customFormat="1" customHeight="1" s="1549">
      <c r="A407" s="1568" t="inlineStr">
        <is>
          <t>JT.#190</t>
        </is>
      </c>
      <c r="B407" s="1568" t="inlineStr">
        <is>
          <t>3-1/2" TUBING 9.2 LB/FT ALLOY 28 TSH BL</t>
        </is>
      </c>
      <c r="C407" s="1569" t="n">
        <v>31</v>
      </c>
      <c r="D407" s="1570">
        <f>C407-0.301</f>
        <v/>
      </c>
      <c r="E407" s="1571">
        <f>E406+D407</f>
        <v/>
      </c>
      <c r="F407" s="1571">
        <f>F406-D406</f>
        <v/>
      </c>
      <c r="G407" s="1572">
        <f>G406-D407</f>
        <v/>
      </c>
      <c r="H407" s="1593" t="inlineStr">
        <is>
          <t>.</t>
        </is>
      </c>
      <c r="K407" s="1578" t="n"/>
    </row>
    <row r="408" ht="39.75" customFormat="1" customHeight="1" s="1549">
      <c r="A408" s="1568" t="inlineStr">
        <is>
          <t>JT.#191</t>
        </is>
      </c>
      <c r="B408" s="1568" t="inlineStr">
        <is>
          <t>3-1/2" TUBING 9.2 LB/FT ALLOY 28 TSH BL</t>
        </is>
      </c>
      <c r="C408" s="1569" t="n">
        <v>31</v>
      </c>
      <c r="D408" s="1570">
        <f>C408-0.301</f>
        <v/>
      </c>
      <c r="E408" s="1571">
        <f>E407+D408</f>
        <v/>
      </c>
      <c r="F408" s="1571">
        <f>F407-D407</f>
        <v/>
      </c>
      <c r="G408" s="1572">
        <f>G407-D408</f>
        <v/>
      </c>
      <c r="K408" s="1578" t="n"/>
    </row>
    <row r="409" ht="129" customFormat="1" customHeight="1" s="1549">
      <c r="A409" s="1568" t="inlineStr">
        <is>
          <t>JT.#192</t>
        </is>
      </c>
      <c r="B409" s="1568" t="inlineStr">
        <is>
          <t>3-1/2" TUBING 9.2 LB/FT ALLOY 28 TSH BL</t>
        </is>
      </c>
      <c r="C409" s="1569" t="n">
        <v>31</v>
      </c>
      <c r="D409" s="1656">
        <f>C409-0.301</f>
        <v/>
      </c>
      <c r="E409" s="1571">
        <f>E408+D409</f>
        <v/>
      </c>
      <c r="F409" s="1571">
        <f>F408-D408</f>
        <v/>
      </c>
      <c r="G409" s="1572">
        <f>G408-D409</f>
        <v/>
      </c>
      <c r="H409" s="1644" t="n"/>
    </row>
    <row r="410" ht="199.5" customFormat="1" customHeight="1" s="1549">
      <c r="A410" s="1657" t="inlineStr">
        <is>
          <t>D1</t>
        </is>
      </c>
      <c r="B410" s="1658" t="inlineStr">
        <is>
          <t>UPPER CONN. 3-1/2" VAM TOP BOX 9.2 PPF SN 28 110 KSI
DESCRIPTION: 5 FEET XOVER
SAP: 130005011340
SUPPLIER: TENARIS
LOWER CONN. 3-1/2" TSH BLUE PIN 9.2 PPF SN 28 110 KSI</t>
        </is>
      </c>
      <c r="C410" s="1659" t="n">
        <v>5.2</v>
      </c>
      <c r="D410" s="1617">
        <f>C410</f>
        <v/>
      </c>
      <c r="E410" s="1571">
        <f>E409+D410</f>
        <v/>
      </c>
      <c r="F410" s="1571">
        <f>F409-D409</f>
        <v/>
      </c>
      <c r="G410" s="1572">
        <f>G409-D410</f>
        <v/>
      </c>
      <c r="H410" s="1660" t="n"/>
    </row>
    <row r="411" ht="222" customFormat="1" customHeight="1" s="1549">
      <c r="A411" s="1582" t="n"/>
      <c r="B411" s="1658" t="inlineStr">
        <is>
          <t>UPPER CONN. 3-1/2" SENTINEL PRIME BOX 9.2 PPF TX28-110 KSI
DESCRIPTION: 5 FEET XOVER
SAP: 130013006385
SUPPLIER: TBX
LOWER CONN. 3-1/2" VAM TOP PIN 9.2 PPF TX28-110 KSI</t>
        </is>
      </c>
      <c r="C411" s="1659" t="n">
        <v>4.96</v>
      </c>
      <c r="D411" s="1617">
        <f>C411</f>
        <v/>
      </c>
      <c r="E411" s="1571">
        <f>E410+D411</f>
        <v/>
      </c>
      <c r="F411" s="1571">
        <f>F410-D410</f>
        <v/>
      </c>
      <c r="G411" s="1572">
        <f>G410-D411</f>
        <v/>
      </c>
      <c r="H411" s="1660" t="n"/>
    </row>
    <row r="412" ht="194.25" customFormat="1" customHeight="1" s="1549">
      <c r="A412" s="1582" t="n"/>
      <c r="B412" s="1658"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659" t="n">
        <v>8.69</v>
      </c>
      <c r="D412" s="1617">
        <f>C412</f>
        <v/>
      </c>
      <c r="E412" s="1571">
        <f>E411+D412</f>
        <v/>
      </c>
      <c r="F412" s="1571">
        <f>F411-D411</f>
        <v/>
      </c>
      <c r="G412" s="1572">
        <f>G411-D412</f>
        <v/>
      </c>
      <c r="H412" s="1618" t="n"/>
    </row>
    <row r="413" ht="163.5" customFormat="1" customHeight="1" s="1549">
      <c r="A413" s="1582" t="n"/>
      <c r="B413" s="1658" t="inlineStr">
        <is>
          <t>UPPER CONN. 3-1/2" VAM TOP BOX 9.2 PPF TX28- 110 KSI
DESCRIPTION: 5 FEET XOVER
SAP: 130013006383
SUPPLIER: TBX
LOWER CONN -3-1/2" SENTINEL PRIME PIN 9.2 PPF TX28-110 KSI</t>
        </is>
      </c>
      <c r="C413" s="1659" t="n">
        <v>4.85</v>
      </c>
      <c r="D413" s="1617">
        <f>C413</f>
        <v/>
      </c>
      <c r="E413" s="1571">
        <f>E412+D413</f>
        <v/>
      </c>
      <c r="F413" s="1571">
        <f>F412-D412</f>
        <v/>
      </c>
      <c r="G413" s="1572">
        <f>G412-D413</f>
        <v/>
      </c>
      <c r="H413" s="1660" t="n"/>
    </row>
    <row r="414" ht="39.75" customFormat="1" customHeight="1" s="1549">
      <c r="A414" s="1148" t="n"/>
      <c r="B414" s="1658" t="inlineStr">
        <is>
          <t>UPPER CONN. 3-1/2" TSH BLUE BOX 9.2 PPF SN 28 110 KSI
DESCRIPTION: 10 FEET XOVER
SAP: 130005012487
SUPPLIER: TENARIS
LOWER CONN. 3-1/2" VAM TOP PIN 9.2 PPF SN 28 110 KSI</t>
        </is>
      </c>
      <c r="C414" s="1659" t="n">
        <v>9.949999999999999</v>
      </c>
      <c r="D414" s="1570">
        <f>C414-0.301</f>
        <v/>
      </c>
      <c r="E414" s="1571">
        <f>E413+D414</f>
        <v/>
      </c>
      <c r="F414" s="1571">
        <f>F413-D413</f>
        <v/>
      </c>
      <c r="G414" s="1572">
        <f>G413-D414</f>
        <v/>
      </c>
      <c r="H414" s="1661" t="n"/>
    </row>
    <row r="415" ht="39.75" customFormat="1" customHeight="1" s="1549">
      <c r="A415" s="1568" t="inlineStr">
        <is>
          <t>JT.#193</t>
        </is>
      </c>
      <c r="B415" s="1568" t="inlineStr">
        <is>
          <t>3-1/2" TUBING 9.2 LB/FT ALLOY 28 TSH BL</t>
        </is>
      </c>
      <c r="C415" s="1569" t="n">
        <v>31</v>
      </c>
      <c r="D415" s="1570">
        <f>C415-0.301</f>
        <v/>
      </c>
      <c r="E415" s="1571">
        <f>E414+D415</f>
        <v/>
      </c>
      <c r="F415" s="1571">
        <f>F414-D414</f>
        <v/>
      </c>
      <c r="G415" s="1572">
        <f>G414-D415</f>
        <v/>
      </c>
      <c r="H415" s="1661" t="n"/>
    </row>
    <row r="416" ht="39.75" customFormat="1" customHeight="1" s="1549">
      <c r="A416" s="1568" t="inlineStr">
        <is>
          <t>JT.#194</t>
        </is>
      </c>
      <c r="B416" s="1568" t="inlineStr">
        <is>
          <t>3-1/2" TUBING 9.2 LB/FT ALLOY 28 TSH BL</t>
        </is>
      </c>
      <c r="C416" s="1569" t="n">
        <v>31</v>
      </c>
      <c r="D416" s="1570">
        <f>C416-0.301</f>
        <v/>
      </c>
      <c r="E416" s="1571">
        <f>E415+D416</f>
        <v/>
      </c>
      <c r="F416" s="1571">
        <f>F415-D415</f>
        <v/>
      </c>
      <c r="G416" s="1572">
        <f>G415-D416</f>
        <v/>
      </c>
      <c r="H416" s="1661" t="n"/>
    </row>
    <row r="417" ht="39.75" customFormat="1" customHeight="1" s="1549">
      <c r="A417" s="1568" t="inlineStr">
        <is>
          <t>JT.#195</t>
        </is>
      </c>
      <c r="B417" s="1568" t="inlineStr">
        <is>
          <t>3-1/2" TUBING 9.2 LB/FT ALLOY 28 TSH BL</t>
        </is>
      </c>
      <c r="C417" s="1569" t="n">
        <v>31</v>
      </c>
      <c r="D417" s="1570">
        <f>C417-0.301</f>
        <v/>
      </c>
      <c r="E417" s="1571">
        <f>E416+D417</f>
        <v/>
      </c>
      <c r="F417" s="1571">
        <f>F416-D416</f>
        <v/>
      </c>
      <c r="G417" s="1572">
        <f>G416-D417</f>
        <v/>
      </c>
      <c r="H417" s="1661" t="n"/>
    </row>
    <row r="418" ht="39" customFormat="1" customHeight="1" s="1662">
      <c r="A418" s="1568" t="inlineStr">
        <is>
          <t>JT.#196</t>
        </is>
      </c>
      <c r="B418" s="1568" t="inlineStr">
        <is>
          <t>3-1/2" TUBING 9.2 LB/FT ALLOY 28 TSH BL</t>
        </is>
      </c>
      <c r="C418" s="1569" t="n">
        <v>31</v>
      </c>
      <c r="D418" s="1663">
        <f>C418-0.301</f>
        <v/>
      </c>
      <c r="E418" s="1571">
        <f>E417+D418</f>
        <v/>
      </c>
      <c r="F418" s="1571">
        <f>F417-D417</f>
        <v/>
      </c>
      <c r="G418" s="1572">
        <f>G417-D418</f>
        <v/>
      </c>
      <c r="H418" s="1594" t="inlineStr">
        <is>
          <t xml:space="preserve">FILL UP STRING </t>
        </is>
      </c>
    </row>
    <row r="419" ht="59.25" customFormat="1" customHeight="1" s="1549">
      <c r="A419" s="1568" t="inlineStr">
        <is>
          <t>JT.#197</t>
        </is>
      </c>
      <c r="B419" s="1568" t="inlineStr">
        <is>
          <t>3-1/2" TUBING 9.2 LB/FT ALLOY 28 TSH BL</t>
        </is>
      </c>
      <c r="C419" s="1569" t="n">
        <v>31</v>
      </c>
      <c r="D419" s="1615">
        <f>C419-0.301</f>
        <v/>
      </c>
      <c r="E419" s="1571">
        <f>E418+D419</f>
        <v/>
      </c>
      <c r="F419" s="1571">
        <f>F418-D418</f>
        <v/>
      </c>
      <c r="G419" s="1572">
        <f>G418-D419</f>
        <v/>
      </c>
      <c r="H419" s="1664" t="n"/>
    </row>
    <row r="420" ht="60.75" customFormat="1" customHeight="1" s="1549">
      <c r="A420" s="1568" t="inlineStr">
        <is>
          <t>JT.#198</t>
        </is>
      </c>
      <c r="B420" s="1568" t="inlineStr">
        <is>
          <t>3-1/2" TUBING 9.2 LB/FT ALLOY 28 TSH BL</t>
        </is>
      </c>
      <c r="C420" s="1569" t="n">
        <v>31</v>
      </c>
      <c r="D420" s="1665">
        <f>C420</f>
        <v/>
      </c>
      <c r="E420" s="1571">
        <f>E419+D420</f>
        <v/>
      </c>
      <c r="F420" s="1571">
        <f>F419-D419</f>
        <v/>
      </c>
      <c r="G420" s="1572">
        <f>G419-D420</f>
        <v/>
      </c>
      <c r="H420" s="1666" t="n"/>
    </row>
    <row r="421" ht="125.25" customFormat="1" customHeight="1" s="1549">
      <c r="A421" s="1568" t="inlineStr">
        <is>
          <t>JT.#199</t>
        </is>
      </c>
      <c r="B421" s="1568" t="inlineStr">
        <is>
          <t>3-1/2" TUBING 9.2 LB/FT ALLOY 28 TSH BL</t>
        </is>
      </c>
      <c r="C421" s="1569" t="n">
        <v>31</v>
      </c>
      <c r="D421" s="1667">
        <f>C421</f>
        <v/>
      </c>
      <c r="E421" s="1571">
        <f>E420+D421</f>
        <v/>
      </c>
      <c r="F421" s="1571">
        <f>F420-D420</f>
        <v/>
      </c>
      <c r="G421" s="1572">
        <f>G420-D421</f>
        <v/>
      </c>
      <c r="H421" s="1668" t="n"/>
    </row>
    <row r="422" ht="39.75" customFormat="1" customHeight="1" s="1549">
      <c r="A422" s="1568" t="inlineStr">
        <is>
          <t>JT.#200</t>
        </is>
      </c>
      <c r="B422" s="1568" t="inlineStr">
        <is>
          <t>3-1/2" TUBING 9.2 LB/FT ALLOY 28 TSH BL</t>
        </is>
      </c>
      <c r="C422" s="1569" t="n">
        <v>31</v>
      </c>
      <c r="D422" s="1669">
        <f>C422</f>
        <v/>
      </c>
      <c r="E422" s="1571">
        <f>E421+D422</f>
        <v/>
      </c>
      <c r="F422" s="1571">
        <f>F421-D421</f>
        <v/>
      </c>
      <c r="G422" s="1572">
        <f>G421-D422</f>
        <v/>
      </c>
      <c r="H422" s="1670" t="n"/>
    </row>
    <row r="423" ht="39.75" customFormat="1" customHeight="1" s="1662">
      <c r="A423" s="1568" t="inlineStr">
        <is>
          <t>JT.#201</t>
        </is>
      </c>
      <c r="B423" s="1568" t="inlineStr">
        <is>
          <t>3-1/2" TUBING 9.2 LB/FT ALLOY 28 TSH BL</t>
        </is>
      </c>
      <c r="C423" s="1569" t="n">
        <v>31</v>
      </c>
      <c r="D423" s="1669">
        <f>C423</f>
        <v/>
      </c>
      <c r="E423" s="1571">
        <f>E422+D423</f>
        <v/>
      </c>
      <c r="F423" s="1571">
        <f>F422-D422</f>
        <v/>
      </c>
      <c r="G423" s="1572">
        <f>G422-D423</f>
        <v/>
      </c>
      <c r="H423" s="1670" t="n"/>
    </row>
    <row r="424" ht="26.25" customFormat="1" customHeight="1" s="1549">
      <c r="A424" s="1568" t="inlineStr">
        <is>
          <t>JT.#202</t>
        </is>
      </c>
      <c r="B424" s="1568" t="inlineStr">
        <is>
          <t>3-1/2" TUBING 9.2 LB/FT ALLOY 28 TSH BL</t>
        </is>
      </c>
      <c r="C424" s="1569" t="n">
        <v>31</v>
      </c>
      <c r="D424" s="1669">
        <f>C424</f>
        <v/>
      </c>
      <c r="E424" s="1571">
        <f>E423+D424</f>
        <v/>
      </c>
      <c r="F424" s="1571">
        <f>F423-D423</f>
        <v/>
      </c>
      <c r="G424" s="1572">
        <f>G423-D424</f>
        <v/>
      </c>
      <c r="H424" s="1670" t="n"/>
    </row>
    <row r="425" ht="26.25" customFormat="1" customHeight="1" s="1549">
      <c r="A425" s="1568" t="inlineStr">
        <is>
          <t>JT.#203</t>
        </is>
      </c>
      <c r="B425" s="1568" t="inlineStr">
        <is>
          <t>3-1/2" TUBING 9.2 LB/FT ALLOY 28 TSH BL</t>
        </is>
      </c>
      <c r="C425" s="1569" t="n">
        <v>31</v>
      </c>
      <c r="D425" s="1669">
        <f>C425</f>
        <v/>
      </c>
      <c r="E425" s="1571">
        <f>E424+D425</f>
        <v/>
      </c>
      <c r="F425" s="1571">
        <f>F424-D424</f>
        <v/>
      </c>
      <c r="G425" s="1572">
        <f>G424-D425</f>
        <v/>
      </c>
      <c r="H425" s="1670" t="n"/>
    </row>
    <row r="426" ht="26.25" customFormat="1" customHeight="1" s="1549">
      <c r="A426" s="1568" t="inlineStr">
        <is>
          <t>JT.#204</t>
        </is>
      </c>
      <c r="B426" s="1568" t="inlineStr">
        <is>
          <t>3-1/2" TUBING 9.2 LB/FT ALLOY 28 TSH BL</t>
        </is>
      </c>
      <c r="C426" s="1569" t="n">
        <v>31</v>
      </c>
      <c r="D426" s="1669">
        <f>C426</f>
        <v/>
      </c>
      <c r="E426" s="1571">
        <f>E425+D426</f>
        <v/>
      </c>
      <c r="F426" s="1571">
        <f>F425-D425</f>
        <v/>
      </c>
      <c r="G426" s="1572">
        <f>G425-D426</f>
        <v/>
      </c>
      <c r="H426" s="1670" t="n"/>
    </row>
    <row r="427" ht="26.25" customFormat="1" customHeight="1" s="1549">
      <c r="A427" s="1568" t="inlineStr">
        <is>
          <t>JT.#205</t>
        </is>
      </c>
      <c r="B427" s="1568" t="inlineStr">
        <is>
          <t>3-1/2" TUBING 9.2 LB/FT ALLOY 28 TSH BL</t>
        </is>
      </c>
      <c r="C427" s="1569" t="n">
        <v>31</v>
      </c>
      <c r="D427" s="1669">
        <f>C427</f>
        <v/>
      </c>
      <c r="E427" s="1571">
        <f>E426+D427</f>
        <v/>
      </c>
      <c r="F427" s="1571">
        <f>F426-D426</f>
        <v/>
      </c>
      <c r="G427" s="1572">
        <f>G426-D427</f>
        <v/>
      </c>
      <c r="H427" s="1670" t="n"/>
    </row>
    <row r="428" ht="77.25" customHeight="1" s="862">
      <c r="A428" s="1568" t="inlineStr">
        <is>
          <t>JT.#206</t>
        </is>
      </c>
      <c r="B428" s="1568" t="inlineStr">
        <is>
          <t>3-1/2" TUBING 9.2 LB/FT ALLOY 28 TSH BL</t>
        </is>
      </c>
      <c r="C428" s="1569" t="n">
        <v>31</v>
      </c>
      <c r="D428" s="1669">
        <f>C428</f>
        <v/>
      </c>
      <c r="E428" s="1571">
        <f>E427+D428</f>
        <v/>
      </c>
      <c r="F428" s="1571">
        <f>F427-D427</f>
        <v/>
      </c>
      <c r="G428" s="1572">
        <f>G427-D428</f>
        <v/>
      </c>
      <c r="H428" s="1670" t="n"/>
    </row>
    <row r="429" ht="26.25" customHeight="1" s="862">
      <c r="A429" s="1568" t="inlineStr">
        <is>
          <t>JT.#207</t>
        </is>
      </c>
      <c r="B429" s="1568" t="inlineStr">
        <is>
          <t>3-1/2" TUBING 9.2 LB/FT ALLOY 28 TSH BL</t>
        </is>
      </c>
      <c r="C429" s="1569" t="n">
        <v>31</v>
      </c>
      <c r="D429" s="1669">
        <f>C429</f>
        <v/>
      </c>
      <c r="E429" s="1571">
        <f>E428+D429</f>
        <v/>
      </c>
      <c r="F429" s="1571">
        <f>F428-D428</f>
        <v/>
      </c>
      <c r="G429" s="1572">
        <f>G428-D429</f>
        <v/>
      </c>
      <c r="H429" s="1670" t="n"/>
    </row>
    <row r="430" ht="75.75" customHeight="1" s="862">
      <c r="A430" s="1671" t="inlineStr">
        <is>
          <t>D2</t>
        </is>
      </c>
      <c r="B430" s="1672" t="inlineStr">
        <is>
          <t>UPPER CONN. 3-1/2" VAM TOP BOX 9.2 PPF SN 28 110 KSI
DESCRIPTION: 5 FEET XOVER
SAP: 130005011340
SUPPLIER: TENARIS
LOWER CONN. 3-1/2" TSH BLUE PIN 9.2 PPF SN 28 110 KSI</t>
        </is>
      </c>
      <c r="C430" s="1673" t="n">
        <v>5.18</v>
      </c>
      <c r="D430" s="1669">
        <f>C430</f>
        <v/>
      </c>
      <c r="E430" s="1571">
        <f>E429+D430</f>
        <v/>
      </c>
      <c r="F430" s="1571">
        <f>F429-D429</f>
        <v/>
      </c>
      <c r="G430" s="1572">
        <f>G429-D430</f>
        <v/>
      </c>
      <c r="H430" s="1670" t="n"/>
    </row>
    <row r="431" ht="75.75" customHeight="1" s="862">
      <c r="A431" s="1582" t="n"/>
      <c r="B431" s="1672" t="inlineStr">
        <is>
          <t>UPPER CONN. 3-1/2" SENTINEL PRIME BOX 9.2 PPF TX28- 110 KSI
DESCRIPTION: 5 FEET XOVER
SAP: 130013006385
SUPPLIER: TBX
LOWER CONN. 3-1/2" VAM TOP PIN 9.2 PPF TX28-110 KSI</t>
        </is>
      </c>
      <c r="C431" s="1673" t="n">
        <v>4.97</v>
      </c>
      <c r="D431" s="1669">
        <f>C431</f>
        <v/>
      </c>
      <c r="E431" s="1571">
        <f>E430+D431</f>
        <v/>
      </c>
      <c r="F431" s="1571">
        <f>F430-D430</f>
        <v/>
      </c>
      <c r="G431" s="1572">
        <f>G430-D431</f>
        <v/>
      </c>
      <c r="H431" s="1670" t="n"/>
    </row>
    <row r="432" ht="135.75" customHeight="1" s="862">
      <c r="A432" s="1582" t="n"/>
      <c r="B432" s="1672"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673" t="n">
        <v>8.69</v>
      </c>
      <c r="D432" s="1669">
        <f>C432</f>
        <v/>
      </c>
      <c r="E432" s="1571">
        <f>E431+D432</f>
        <v/>
      </c>
      <c r="F432" s="1571">
        <f>F431-D431</f>
        <v/>
      </c>
      <c r="G432" s="1572">
        <f>G431-D432</f>
        <v/>
      </c>
      <c r="H432" s="1670" t="n"/>
    </row>
    <row r="433" ht="75.75" customHeight="1" s="862">
      <c r="A433" s="1582" t="n"/>
      <c r="B433" s="1672" t="inlineStr">
        <is>
          <t>UPPER CONN. 3-1/2" VAM TOP BOX 9.2 PPF TX28- 110 KSI
DESCRIPTION: 5 FEET XOVER
SAP: 130013006383
SUPPLIER: TBX
LOWER CONN -3-1/2" SENTINEL PRIME PIN 9.2 PPF TX28-110 KSI</t>
        </is>
      </c>
      <c r="C433" s="1673" t="n">
        <v>4.8</v>
      </c>
      <c r="D433" s="1669">
        <f>C433</f>
        <v/>
      </c>
      <c r="E433" s="1571">
        <f>E432+D433</f>
        <v/>
      </c>
      <c r="F433" s="1571">
        <f>F432-D432</f>
        <v/>
      </c>
      <c r="G433" s="1572">
        <f>G432-D433</f>
        <v/>
      </c>
      <c r="H433" s="1670" t="n"/>
    </row>
    <row r="434" ht="75.75" customHeight="1" s="862">
      <c r="A434" s="1148" t="n"/>
      <c r="B434" s="1672" t="inlineStr">
        <is>
          <t>UPPER CONN. 3-1/2" TSH BLUE BOX 9.2 PPF SN 28 110 KSI
DESCRIPTION: 10 FEET XOVER
SAP: 130005012487
SUPPLIER: TENARIS
LOWER CONN. 3-1/2" VAM TOP PIN 9.2 PPF SN 28 110 KSI</t>
        </is>
      </c>
      <c r="C434" s="1673" t="n">
        <v>9.949999999999999</v>
      </c>
      <c r="D434" s="1669">
        <f>C434</f>
        <v/>
      </c>
      <c r="E434" s="1571">
        <f>E433+D434</f>
        <v/>
      </c>
      <c r="F434" s="1571">
        <f>F433-D433</f>
        <v/>
      </c>
      <c r="G434" s="1572">
        <f>G433-D434</f>
        <v/>
      </c>
      <c r="H434" s="1670" t="n"/>
    </row>
    <row r="435" ht="26.25" customHeight="1" s="862">
      <c r="A435" s="1568" t="inlineStr">
        <is>
          <t>JT.#208</t>
        </is>
      </c>
      <c r="B435" s="1568" t="inlineStr">
        <is>
          <t>3-1/2" TUBING 9.2 LB/FT ALLOY 28 TSH BL</t>
        </is>
      </c>
      <c r="C435" s="1569" t="n">
        <v>31</v>
      </c>
      <c r="D435" s="1669">
        <f>C435</f>
        <v/>
      </c>
      <c r="E435" s="1571">
        <f>E434+D435</f>
        <v/>
      </c>
      <c r="F435" s="1571">
        <f>F434-D434</f>
        <v/>
      </c>
      <c r="G435" s="1572">
        <f>G434-D435</f>
        <v/>
      </c>
      <c r="H435" s="1670" t="n"/>
    </row>
    <row r="436" ht="26.25" customHeight="1" s="862">
      <c r="A436" s="1568" t="inlineStr">
        <is>
          <t>JT.#209</t>
        </is>
      </c>
      <c r="B436" s="1568" t="inlineStr">
        <is>
          <t>3-1/2" TUBING 9.2 LB/FT ALLOY 28 TSH BL</t>
        </is>
      </c>
      <c r="C436" s="1569" t="n">
        <v>31</v>
      </c>
      <c r="D436" s="1669">
        <f>C436</f>
        <v/>
      </c>
      <c r="E436" s="1571">
        <f>E435+D436</f>
        <v/>
      </c>
      <c r="F436" s="1571">
        <f>F435-D435</f>
        <v/>
      </c>
      <c r="G436" s="1572">
        <f>G435-D436</f>
        <v/>
      </c>
      <c r="H436" s="1670" t="n"/>
    </row>
    <row r="437" ht="26.25" customHeight="1" s="862">
      <c r="A437" s="1568" t="inlineStr">
        <is>
          <t>JT.#210</t>
        </is>
      </c>
      <c r="B437" s="1568" t="inlineStr">
        <is>
          <t>3-1/2" TUBING 9.2 LB/FT ALLOY 28 TSH BL</t>
        </is>
      </c>
      <c r="C437" s="1569" t="n">
        <v>31</v>
      </c>
      <c r="D437" s="1669">
        <f>C437</f>
        <v/>
      </c>
      <c r="E437" s="1571">
        <f>E436+D437</f>
        <v/>
      </c>
      <c r="F437" s="1571">
        <f>F436-D436</f>
        <v/>
      </c>
      <c r="G437" s="1572">
        <f>G436-D437</f>
        <v/>
      </c>
      <c r="H437" s="1670" t="n"/>
    </row>
    <row r="438" ht="26.25" customHeight="1" s="862">
      <c r="A438" s="1568" t="inlineStr">
        <is>
          <t>JT.#211</t>
        </is>
      </c>
      <c r="B438" s="1568" t="inlineStr">
        <is>
          <t>3-1/2" TUBING 9.2 LB/FT ALLOY 28 TSH BL</t>
        </is>
      </c>
      <c r="C438" s="1569" t="n">
        <v>31</v>
      </c>
      <c r="D438" s="1669">
        <f>C438</f>
        <v/>
      </c>
      <c r="E438" s="1571">
        <f>E437+D438</f>
        <v/>
      </c>
      <c r="F438" s="1571">
        <f>F437-D437</f>
        <v/>
      </c>
      <c r="G438" s="1572">
        <f>G437-D438</f>
        <v/>
      </c>
      <c r="H438" s="1670" t="n"/>
    </row>
    <row r="439" ht="26.25" customHeight="1" s="862">
      <c r="A439" s="1568" t="inlineStr">
        <is>
          <t>JT.#212</t>
        </is>
      </c>
      <c r="B439" s="1568" t="inlineStr">
        <is>
          <t>3-1/2" TUBING 9.2 LB/FT ALLOY 28 TSH BL</t>
        </is>
      </c>
      <c r="C439" s="1569" t="n">
        <v>31</v>
      </c>
      <c r="D439" s="1669">
        <f>C439</f>
        <v/>
      </c>
      <c r="E439" s="1571">
        <f>E438+D439</f>
        <v/>
      </c>
      <c r="F439" s="1571">
        <f>F438-D438</f>
        <v/>
      </c>
      <c r="G439" s="1572">
        <f>G438-D439</f>
        <v/>
      </c>
      <c r="H439" s="1670" t="n"/>
    </row>
    <row r="440" ht="26.25" customHeight="1" s="862">
      <c r="A440" s="1568" t="inlineStr">
        <is>
          <t>JT.#213</t>
        </is>
      </c>
      <c r="B440" s="1568" t="inlineStr">
        <is>
          <t>3-1/2" TUBING 9.2 LB/FT ALLOY 28 TSH BL</t>
        </is>
      </c>
      <c r="C440" s="1569" t="n">
        <v>31</v>
      </c>
      <c r="D440" s="1669">
        <f>C440</f>
        <v/>
      </c>
      <c r="E440" s="1571">
        <f>E439+D440</f>
        <v/>
      </c>
      <c r="F440" s="1571">
        <f>F439-D439</f>
        <v/>
      </c>
      <c r="G440" s="1572">
        <f>G439-D440</f>
        <v/>
      </c>
      <c r="H440" s="1670" t="n"/>
    </row>
    <row r="441" ht="26.25" customHeight="1" s="862">
      <c r="A441" s="1568" t="inlineStr">
        <is>
          <t>JT.#214</t>
        </is>
      </c>
      <c r="B441" s="1568" t="inlineStr">
        <is>
          <t>3-1/2" TUBING 9.2 LB/FT ALLOY 28 TSH BL</t>
        </is>
      </c>
      <c r="C441" s="1569" t="n">
        <v>31</v>
      </c>
      <c r="D441" s="1669">
        <f>C441</f>
        <v/>
      </c>
      <c r="E441" s="1571">
        <f>E440+D441</f>
        <v/>
      </c>
      <c r="F441" s="1571">
        <f>F440-D440</f>
        <v/>
      </c>
      <c r="G441" s="1572">
        <f>G440-D441</f>
        <v/>
      </c>
      <c r="H441" s="1670" t="n"/>
    </row>
    <row r="442" ht="26.25" customHeight="1" s="862">
      <c r="A442" s="1568" t="inlineStr">
        <is>
          <t>JT.#215</t>
        </is>
      </c>
      <c r="B442" s="1568" t="inlineStr">
        <is>
          <t>3-1/2" TUBING 9.2 LB/FT ALLOY 28 TSH BL</t>
        </is>
      </c>
      <c r="C442" s="1569" t="n">
        <v>31</v>
      </c>
      <c r="D442" s="1669">
        <f>C442</f>
        <v/>
      </c>
      <c r="E442" s="1571">
        <f>E441+D442</f>
        <v/>
      </c>
      <c r="F442" s="1571">
        <f>F441-D441</f>
        <v/>
      </c>
      <c r="G442" s="1572">
        <f>G441-D442</f>
        <v/>
      </c>
      <c r="H442" s="1670" t="n"/>
    </row>
    <row r="443" ht="26.25" customHeight="1" s="862">
      <c r="A443" s="1568" t="inlineStr">
        <is>
          <t>JT.#216</t>
        </is>
      </c>
      <c r="B443" s="1568" t="inlineStr">
        <is>
          <t>3-1/2" TUBING 9.2 LB/FT ALLOY 28 TSH BL</t>
        </is>
      </c>
      <c r="C443" s="1569" t="n">
        <v>31</v>
      </c>
      <c r="D443" s="1669">
        <f>C443</f>
        <v/>
      </c>
      <c r="E443" s="1571">
        <f>E442+D443</f>
        <v/>
      </c>
      <c r="F443" s="1571">
        <f>F442-D442</f>
        <v/>
      </c>
      <c r="G443" s="1572">
        <f>G442-D443</f>
        <v/>
      </c>
      <c r="H443" s="1670" t="n"/>
    </row>
    <row r="444" ht="26.25" customHeight="1" s="862">
      <c r="A444" s="1568" t="inlineStr">
        <is>
          <t>JT.#217</t>
        </is>
      </c>
      <c r="B444" s="1568" t="inlineStr">
        <is>
          <t>3-1/2" TUBING 9.2 LB/FT ALLOY 28 TSH BL</t>
        </is>
      </c>
      <c r="C444" s="1569" t="n">
        <v>31</v>
      </c>
      <c r="D444" s="1669">
        <f>C444</f>
        <v/>
      </c>
      <c r="E444" s="1571">
        <f>E443+D444</f>
        <v/>
      </c>
      <c r="F444" s="1571">
        <f>F443-D443</f>
        <v/>
      </c>
      <c r="G444" s="1572">
        <f>G443-D444</f>
        <v/>
      </c>
      <c r="H444" s="1670" t="n"/>
    </row>
    <row r="445" ht="26.25" customHeight="1" s="862">
      <c r="A445" s="1568" t="inlineStr">
        <is>
          <t>JT.#218</t>
        </is>
      </c>
      <c r="B445" s="1568" t="inlineStr">
        <is>
          <t>3-1/2" TUBING 9.2 LB/FT ALLOY 28 TSH BL</t>
        </is>
      </c>
      <c r="C445" s="1569" t="n">
        <v>31</v>
      </c>
      <c r="D445" s="1669">
        <f>C445</f>
        <v/>
      </c>
      <c r="E445" s="1571">
        <f>E444+D445</f>
        <v/>
      </c>
      <c r="F445" s="1571">
        <f>F444-D444</f>
        <v/>
      </c>
      <c r="G445" s="1572">
        <f>G444-D445</f>
        <v/>
      </c>
      <c r="H445" s="1670" t="n"/>
    </row>
    <row r="446" ht="26.25" customHeight="1" s="862">
      <c r="A446" s="1568" t="inlineStr">
        <is>
          <t>JT.#219</t>
        </is>
      </c>
      <c r="B446" s="1568" t="inlineStr">
        <is>
          <t>3-1/2" TUBING 9.2 LB/FT ALLOY 28 TSH BL</t>
        </is>
      </c>
      <c r="C446" s="1569" t="n">
        <v>31</v>
      </c>
      <c r="D446" s="1669">
        <f>C446</f>
        <v/>
      </c>
      <c r="E446" s="1571">
        <f>E445+D446</f>
        <v/>
      </c>
      <c r="F446" s="1571">
        <f>F445-D445</f>
        <v/>
      </c>
      <c r="G446" s="1572">
        <f>G445-D446</f>
        <v/>
      </c>
      <c r="H446" s="1670" t="n"/>
    </row>
    <row r="447" ht="26.25" customHeight="1" s="862">
      <c r="A447" s="1568" t="inlineStr">
        <is>
          <t>JT.#220</t>
        </is>
      </c>
      <c r="B447" s="1568" t="inlineStr">
        <is>
          <t>3-1/2" TUBING 9.2 LB/FT ALLOY 28 TSH BL</t>
        </is>
      </c>
      <c r="C447" s="1569" t="n">
        <v>31</v>
      </c>
      <c r="D447" s="1669">
        <f>C447</f>
        <v/>
      </c>
      <c r="E447" s="1571">
        <f>E446+D447</f>
        <v/>
      </c>
      <c r="F447" s="1571">
        <f>F446-D446</f>
        <v/>
      </c>
      <c r="G447" s="1572">
        <f>G446-D447</f>
        <v/>
      </c>
      <c r="H447" s="1670" t="n"/>
    </row>
    <row r="448" ht="26.25" customHeight="1" s="862">
      <c r="A448" s="1568" t="inlineStr">
        <is>
          <t>JT.#221</t>
        </is>
      </c>
      <c r="B448" s="1568" t="inlineStr">
        <is>
          <t>3-1/2" TUBING 9.2 LB/FT ALLOY 28 TSH BL</t>
        </is>
      </c>
      <c r="C448" s="1569" t="n">
        <v>31</v>
      </c>
      <c r="D448" s="1669">
        <f>C448</f>
        <v/>
      </c>
      <c r="E448" s="1571">
        <f>E447+D448</f>
        <v/>
      </c>
      <c r="F448" s="1571">
        <f>F447-D447</f>
        <v/>
      </c>
      <c r="G448" s="1572">
        <f>G447-D448</f>
        <v/>
      </c>
      <c r="H448" s="1670" t="n"/>
    </row>
    <row r="449" ht="26.25" customHeight="1" s="862">
      <c r="A449" s="1568" t="inlineStr">
        <is>
          <t>JT.#222</t>
        </is>
      </c>
      <c r="B449" s="1568" t="inlineStr">
        <is>
          <t>3-1/2" TUBING 9.2 LB/FT ALLOY 28 TSH BL</t>
        </is>
      </c>
      <c r="C449" s="1569" t="n">
        <v>31</v>
      </c>
      <c r="D449" s="1669">
        <f>C449</f>
        <v/>
      </c>
      <c r="E449" s="1571">
        <f>E448+D449</f>
        <v/>
      </c>
      <c r="F449" s="1571">
        <f>F448-D448</f>
        <v/>
      </c>
      <c r="G449" s="1572">
        <f>G448-D449</f>
        <v/>
      </c>
      <c r="H449" s="1670" t="n"/>
    </row>
    <row r="450" ht="26.25" customHeight="1" s="862">
      <c r="A450" s="1568" t="inlineStr">
        <is>
          <t>JT.#223</t>
        </is>
      </c>
      <c r="B450" s="1568" t="inlineStr">
        <is>
          <t>3-1/2" TUBING 9.2 LB/FT ALLOY 28 TSH BL</t>
        </is>
      </c>
      <c r="C450" s="1569" t="n">
        <v>31</v>
      </c>
      <c r="D450" s="1669">
        <f>C450</f>
        <v/>
      </c>
      <c r="E450" s="1571">
        <f>E449+D450</f>
        <v/>
      </c>
      <c r="F450" s="1571">
        <f>F449-D449</f>
        <v/>
      </c>
      <c r="G450" s="1572">
        <f>G449-D450</f>
        <v/>
      </c>
      <c r="H450" s="1670" t="n"/>
    </row>
    <row r="451" ht="26.25" customHeight="1" s="862">
      <c r="A451" s="1568" t="inlineStr">
        <is>
          <t>JT.#224</t>
        </is>
      </c>
      <c r="B451" s="1568" t="inlineStr">
        <is>
          <t>3-1/2" TUBING 9.2 LB/FT ALLOY 28 TSH BL</t>
        </is>
      </c>
      <c r="C451" s="1569" t="n">
        <v>31</v>
      </c>
      <c r="D451" s="1669">
        <f>C451</f>
        <v/>
      </c>
      <c r="E451" s="1571">
        <f>E450+D451</f>
        <v/>
      </c>
      <c r="F451" s="1571">
        <f>F450-D450</f>
        <v/>
      </c>
      <c r="G451" s="1572">
        <f>G450-D451</f>
        <v/>
      </c>
      <c r="H451" s="1670" t="n"/>
    </row>
    <row r="452" ht="26.25" customHeight="1" s="862">
      <c r="A452" s="1568" t="inlineStr">
        <is>
          <t>JT.#225</t>
        </is>
      </c>
      <c r="B452" s="1568" t="inlineStr">
        <is>
          <t>3-1/2" TUBING 9.2 LB/FT ALLOY 28 TSH BL</t>
        </is>
      </c>
      <c r="C452" s="1569" t="n">
        <v>31</v>
      </c>
      <c r="D452" s="1669">
        <f>C452</f>
        <v/>
      </c>
      <c r="E452" s="1571">
        <f>E451+D452</f>
        <v/>
      </c>
      <c r="F452" s="1571">
        <f>F451-D451</f>
        <v/>
      </c>
      <c r="G452" s="1572">
        <f>G451-D452</f>
        <v/>
      </c>
      <c r="H452" s="1670" t="n"/>
    </row>
    <row r="453" ht="26.25" customHeight="1" s="862">
      <c r="A453" s="1568" t="inlineStr">
        <is>
          <t>JT.#226</t>
        </is>
      </c>
      <c r="B453" s="1568" t="inlineStr">
        <is>
          <t>3-1/2" TUBING 9.2 LB/FT ALLOY 28 TSH BL</t>
        </is>
      </c>
      <c r="C453" s="1569" t="n">
        <v>31</v>
      </c>
      <c r="D453" s="1669">
        <f>C453</f>
        <v/>
      </c>
      <c r="E453" s="1571">
        <f>E452+D453</f>
        <v/>
      </c>
      <c r="F453" s="1571">
        <f>F452-D452</f>
        <v/>
      </c>
      <c r="G453" s="1572">
        <f>G452-D453</f>
        <v/>
      </c>
      <c r="H453" s="1670" t="n"/>
    </row>
    <row r="454" ht="26.25" customHeight="1" s="862">
      <c r="A454" s="1568" t="inlineStr">
        <is>
          <t>JT.#227</t>
        </is>
      </c>
      <c r="B454" s="1568" t="inlineStr">
        <is>
          <t>3-1/2" TUBING 9.2 LB/FT ALLOY 28 TSH BL</t>
        </is>
      </c>
      <c r="C454" s="1569" t="n">
        <v>31</v>
      </c>
      <c r="D454" s="1669">
        <f>C454</f>
        <v/>
      </c>
      <c r="E454" s="1571">
        <f>E453+D454</f>
        <v/>
      </c>
      <c r="F454" s="1571">
        <f>F453-D453</f>
        <v/>
      </c>
      <c r="G454" s="1572">
        <f>G453-D454</f>
        <v/>
      </c>
      <c r="H454" s="1670" t="n"/>
    </row>
    <row r="455" ht="26.25" customHeight="1" s="862">
      <c r="A455" s="1568" t="inlineStr">
        <is>
          <t>JT.#228</t>
        </is>
      </c>
      <c r="B455" s="1568" t="inlineStr">
        <is>
          <t>3-1/2" TUBING 9.2 LB/FT ALLOY 28 TSH BL</t>
        </is>
      </c>
      <c r="C455" s="1569" t="n">
        <v>31</v>
      </c>
      <c r="D455" s="1669">
        <f>C455</f>
        <v/>
      </c>
      <c r="E455" s="1571">
        <f>E454+D455</f>
        <v/>
      </c>
      <c r="F455" s="1571">
        <f>F454-D454</f>
        <v/>
      </c>
      <c r="G455" s="1572">
        <f>G454-D455</f>
        <v/>
      </c>
      <c r="H455" s="1670" t="n"/>
    </row>
    <row r="456" ht="26.25" customHeight="1" s="862">
      <c r="A456" s="1568" t="inlineStr">
        <is>
          <t>JT.#229</t>
        </is>
      </c>
      <c r="B456" s="1568" t="inlineStr">
        <is>
          <t>3-1/2" TUBING 9.2 LB/FT ALLOY 28 TSH BL</t>
        </is>
      </c>
      <c r="C456" s="1569" t="n">
        <v>31</v>
      </c>
      <c r="D456" s="1669">
        <f>C456</f>
        <v/>
      </c>
      <c r="E456" s="1571">
        <f>E455+D456</f>
        <v/>
      </c>
      <c r="F456" s="1571">
        <f>F455-D455</f>
        <v/>
      </c>
      <c r="G456" s="1572">
        <f>G455-D456</f>
        <v/>
      </c>
      <c r="H456" s="1670" t="n"/>
    </row>
    <row r="457" ht="26.25" customHeight="1" s="862">
      <c r="A457" s="1568" t="inlineStr">
        <is>
          <t>JT.#230</t>
        </is>
      </c>
      <c r="B457" s="1568" t="inlineStr">
        <is>
          <t>3-1/2" TUBING 9.2 LB/FT ALLOY 28 TSH BL</t>
        </is>
      </c>
      <c r="C457" s="1569" t="n">
        <v>31</v>
      </c>
      <c r="D457" s="1669">
        <f>C457</f>
        <v/>
      </c>
      <c r="E457" s="1571">
        <f>E456+D457</f>
        <v/>
      </c>
      <c r="F457" s="1571">
        <f>F456-D456</f>
        <v/>
      </c>
      <c r="G457" s="1572">
        <f>G456-D457</f>
        <v/>
      </c>
      <c r="H457" s="1670" t="n"/>
    </row>
    <row r="458" ht="26.25" customHeight="1" s="862">
      <c r="A458" s="1568" t="inlineStr">
        <is>
          <t>JT.#231</t>
        </is>
      </c>
      <c r="B458" s="1568" t="inlineStr">
        <is>
          <t>3-1/2" TUBING 9.2 LB/FT ALLOY 28 TSH BL</t>
        </is>
      </c>
      <c r="C458" s="1569" t="n">
        <v>31</v>
      </c>
      <c r="D458" s="1669">
        <f>C458</f>
        <v/>
      </c>
      <c r="E458" s="1571">
        <f>E457+D458</f>
        <v/>
      </c>
      <c r="F458" s="1571">
        <f>F457-D457</f>
        <v/>
      </c>
      <c r="G458" s="1572">
        <f>G457-D458</f>
        <v/>
      </c>
      <c r="H458" s="1670" t="n"/>
    </row>
    <row r="459" ht="26.25" customHeight="1" s="862">
      <c r="A459" s="1568" t="inlineStr">
        <is>
          <t>JT.#232</t>
        </is>
      </c>
      <c r="B459" s="1568" t="inlineStr">
        <is>
          <t>3-1/2" TUBING 9.2 LB/FT ALLOY 28 TSH BL</t>
        </is>
      </c>
      <c r="C459" s="1569" t="n">
        <v>31</v>
      </c>
      <c r="D459" s="1669">
        <f>C459</f>
        <v/>
      </c>
      <c r="E459" s="1571">
        <f>E458+D459</f>
        <v/>
      </c>
      <c r="F459" s="1571">
        <f>F458-D458</f>
        <v/>
      </c>
      <c r="G459" s="1572">
        <f>G458-D459</f>
        <v/>
      </c>
      <c r="H459" s="1670" t="n"/>
    </row>
    <row r="460" ht="26.25" customHeight="1" s="862">
      <c r="A460" s="1568" t="inlineStr">
        <is>
          <t>JT.#233</t>
        </is>
      </c>
      <c r="B460" s="1568" t="inlineStr">
        <is>
          <t>3-1/2" TUBING 9.2 LB/FT ALLOY 28 TSH BL</t>
        </is>
      </c>
      <c r="C460" s="1569" t="n">
        <v>31</v>
      </c>
      <c r="D460" s="1669">
        <f>C460</f>
        <v/>
      </c>
      <c r="E460" s="1571">
        <f>E459+D460</f>
        <v/>
      </c>
      <c r="F460" s="1571">
        <f>F459-D459</f>
        <v/>
      </c>
      <c r="G460" s="1572">
        <f>G459-D460</f>
        <v/>
      </c>
      <c r="H460" s="1670" t="n"/>
    </row>
    <row r="461" ht="26.25" customHeight="1" s="862">
      <c r="A461" s="1568" t="inlineStr">
        <is>
          <t>JT.#234</t>
        </is>
      </c>
      <c r="B461" s="1568" t="inlineStr">
        <is>
          <t>3-1/2" TUBING 9.2 LB/FT ALLOY 28 TSH BL</t>
        </is>
      </c>
      <c r="C461" s="1569" t="n">
        <v>31</v>
      </c>
      <c r="D461" s="1669">
        <f>C461</f>
        <v/>
      </c>
      <c r="E461" s="1571">
        <f>E460+D461</f>
        <v/>
      </c>
      <c r="F461" s="1571">
        <f>F460-D460</f>
        <v/>
      </c>
      <c r="G461" s="1572">
        <f>G460-D461</f>
        <v/>
      </c>
      <c r="H461" s="1670" t="n"/>
    </row>
    <row r="462" ht="26.25" customHeight="1" s="862">
      <c r="A462" s="1568" t="inlineStr">
        <is>
          <t>JT.#235</t>
        </is>
      </c>
      <c r="B462" s="1568" t="inlineStr">
        <is>
          <t>3-1/2" TUBING 9.2 LB/FT ALLOY 28 TSH BL</t>
        </is>
      </c>
      <c r="C462" s="1569" t="n">
        <v>31</v>
      </c>
      <c r="D462" s="1669">
        <f>C462</f>
        <v/>
      </c>
      <c r="E462" s="1571">
        <f>E461+D462</f>
        <v/>
      </c>
      <c r="F462" s="1571">
        <f>F461-D461</f>
        <v/>
      </c>
      <c r="G462" s="1572">
        <f>G461-D462</f>
        <v/>
      </c>
      <c r="H462" s="1670" t="n"/>
    </row>
    <row r="463" ht="75.75" customHeight="1" s="862">
      <c r="A463" s="1674" t="inlineStr">
        <is>
          <t>D3</t>
        </is>
      </c>
      <c r="B463" s="1675" t="inlineStr">
        <is>
          <t>UPPER CONN. 3-1/2" VAM TOP BOX 9.2 PPF SN 28 110 KSI
DESCRIPTION: 5 FEET XOVER
SAP: 130005011340
SUPPLIER: TENARIS
LOWER CONN. 3-1/2" TSH BLUE PIN 9.2 PPF SN 28 110 KSI</t>
        </is>
      </c>
      <c r="C463" s="1676" t="n">
        <v>5.19</v>
      </c>
      <c r="D463" s="1669">
        <f>C463</f>
        <v/>
      </c>
      <c r="E463" s="1571">
        <f>E462+D463</f>
        <v/>
      </c>
      <c r="F463" s="1571">
        <f>F462-D462</f>
        <v/>
      </c>
      <c r="G463" s="1572">
        <f>G462-D463</f>
        <v/>
      </c>
      <c r="H463" s="1670" t="n"/>
    </row>
    <row r="464" ht="75.75" customHeight="1" s="862">
      <c r="A464" s="1582" t="n"/>
      <c r="B464" s="1675" t="inlineStr">
        <is>
          <t>UPPER CONN. 3-1/2" SENTINEL PRIME BOX 9.2 PPF TX28-110 KSI
DESCRIPTION: 5 FEET XOVER
SAP: 130013006385
SUPPLIER: TBX
LOWER CONN. 3-1/2" VAM TOP PIN 9.2 PPF TX28-110 KSI</t>
        </is>
      </c>
      <c r="C464" s="1676" t="n">
        <v>4.96</v>
      </c>
      <c r="D464" s="1669">
        <f>C464</f>
        <v/>
      </c>
      <c r="E464" s="1571">
        <f>E463+D464</f>
        <v/>
      </c>
      <c r="F464" s="1571">
        <f>F463-D463</f>
        <v/>
      </c>
      <c r="G464" s="1572">
        <f>G463-D464</f>
        <v/>
      </c>
      <c r="H464" s="1670" t="n"/>
    </row>
    <row r="465" ht="135.75" customHeight="1" s="862">
      <c r="A465" s="1582" t="n"/>
      <c r="B465" s="1675"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676" t="n">
        <v>8.69</v>
      </c>
      <c r="D465" s="1669">
        <f>C465</f>
        <v/>
      </c>
      <c r="E465" s="1571">
        <f>E464+D465</f>
        <v/>
      </c>
      <c r="F465" s="1571">
        <f>F464-D464</f>
        <v/>
      </c>
      <c r="G465" s="1572">
        <f>G464-D465</f>
        <v/>
      </c>
      <c r="H465" s="1670" t="n"/>
    </row>
    <row r="466" ht="75.75" customHeight="1" s="862">
      <c r="A466" s="1582" t="n"/>
      <c r="B466" s="1675" t="inlineStr">
        <is>
          <t>UPPER CONN. 3-1/2" VAM TOP BOX 9.2 PPF TX28- 110 KSI
DESCRIPTION: 5 FEET XOVER
SAP: 130013006383
SUPPLIER: TBX
LOWER CONN -3-1/2" SENTINEL PRIME PIN 9.2 PPF TX28-110 KSI</t>
        </is>
      </c>
      <c r="C466" s="1676" t="n">
        <v>4.88</v>
      </c>
      <c r="D466" s="1669">
        <f>C466</f>
        <v/>
      </c>
      <c r="E466" s="1571">
        <f>E465+D466</f>
        <v/>
      </c>
      <c r="F466" s="1571">
        <f>F465-D465</f>
        <v/>
      </c>
      <c r="G466" s="1572">
        <f>G465-D466</f>
        <v/>
      </c>
      <c r="H466" s="1670" t="n"/>
    </row>
    <row r="467" ht="75.75" customHeight="1" s="862">
      <c r="A467" s="1148" t="n"/>
      <c r="B467" s="1675" t="inlineStr">
        <is>
          <t>UPPER CONN. 3-1/2" TSH BLUE BOX 9.2 PPF SN 28 110 KSI
DESCRIPTION: 10 FEET XOVER
SAP: 130005012487
SUPPLIER: TENARIS
LOWER CONN. 3-1/2" VAM TOP PIN 9.2 PPF SN 28 110 KSI</t>
        </is>
      </c>
      <c r="C467" s="1676" t="n">
        <v>9.93</v>
      </c>
      <c r="D467" s="1669">
        <f>C467</f>
        <v/>
      </c>
      <c r="E467" s="1571">
        <f>E466+D467</f>
        <v/>
      </c>
      <c r="F467" s="1571">
        <f>F466-D466</f>
        <v/>
      </c>
      <c r="G467" s="1572">
        <f>G466-D467</f>
        <v/>
      </c>
      <c r="H467" s="1670" t="n"/>
    </row>
    <row r="468" ht="26.25" customHeight="1" s="862">
      <c r="A468" s="1568" t="inlineStr">
        <is>
          <t>JT.#236</t>
        </is>
      </c>
      <c r="B468" s="1568" t="inlineStr">
        <is>
          <t>3-1/2" TUBING 9.2 LB/FT ALLOY 28 TSH BL</t>
        </is>
      </c>
      <c r="C468" s="1569" t="n">
        <v>31</v>
      </c>
      <c r="D468" s="1669">
        <f>C468</f>
        <v/>
      </c>
      <c r="E468" s="1571">
        <f>E467+D468</f>
        <v/>
      </c>
      <c r="F468" s="1571">
        <f>F467-D467</f>
        <v/>
      </c>
      <c r="G468" s="1572">
        <f>G467-D468</f>
        <v/>
      </c>
      <c r="H468" s="1670" t="n"/>
    </row>
    <row r="469" ht="26.25" customHeight="1" s="862">
      <c r="A469" s="1568" t="inlineStr">
        <is>
          <t>JT.#237</t>
        </is>
      </c>
      <c r="B469" s="1568" t="inlineStr">
        <is>
          <t>3-1/2" TUBING 9.2 LB/FT ALLOY 28 TSH BL</t>
        </is>
      </c>
      <c r="C469" s="1569" t="n">
        <v>31</v>
      </c>
      <c r="D469" s="1669">
        <f>C469</f>
        <v/>
      </c>
      <c r="E469" s="1571">
        <f>E468+D469</f>
        <v/>
      </c>
      <c r="F469" s="1571">
        <f>F468-D468</f>
        <v/>
      </c>
      <c r="G469" s="1572">
        <f>G468-D469</f>
        <v/>
      </c>
      <c r="H469" s="1670" t="n"/>
    </row>
    <row r="470" ht="26.25" customHeight="1" s="862">
      <c r="A470" s="1568" t="inlineStr">
        <is>
          <t>JT.#238</t>
        </is>
      </c>
      <c r="B470" s="1568" t="inlineStr">
        <is>
          <t>3-1/2" TUBING 9.2 LB/FT ALLOY 28 TSH BL</t>
        </is>
      </c>
      <c r="C470" s="1569" t="n">
        <v>31</v>
      </c>
      <c r="D470" s="1669">
        <f>C470</f>
        <v/>
      </c>
      <c r="E470" s="1571">
        <f>E469+D470</f>
        <v/>
      </c>
      <c r="F470" s="1571">
        <f>F469-D469</f>
        <v/>
      </c>
      <c r="G470" s="1572">
        <f>G469-D470</f>
        <v/>
      </c>
      <c r="H470" s="1670" t="n"/>
    </row>
    <row r="471" ht="26.25" customHeight="1" s="862">
      <c r="A471" s="1568" t="inlineStr">
        <is>
          <t>JT.#239</t>
        </is>
      </c>
      <c r="B471" s="1568" t="inlineStr">
        <is>
          <t>3-1/2" TUBING 9.2 LB/FT ALLOY 28 TSH BL</t>
        </is>
      </c>
      <c r="C471" s="1569" t="n">
        <v>31</v>
      </c>
      <c r="D471" s="1669">
        <f>C471</f>
        <v/>
      </c>
      <c r="E471" s="1571">
        <f>E470+D471</f>
        <v/>
      </c>
      <c r="F471" s="1571">
        <f>F470-D470</f>
        <v/>
      </c>
      <c r="G471" s="1572">
        <f>G470-D471</f>
        <v/>
      </c>
      <c r="H471" s="1670" t="n"/>
    </row>
    <row r="472" ht="26.25" customHeight="1" s="862">
      <c r="A472" s="1568" t="inlineStr">
        <is>
          <t>JT.#240</t>
        </is>
      </c>
      <c r="B472" s="1568" t="inlineStr">
        <is>
          <t>3-1/2" TUBING 9.2 LB/FT ALLOY 28 TSH BL</t>
        </is>
      </c>
      <c r="C472" s="1569" t="n">
        <v>31</v>
      </c>
      <c r="D472" s="1669">
        <f>C472</f>
        <v/>
      </c>
      <c r="E472" s="1571">
        <f>E471+D472</f>
        <v/>
      </c>
      <c r="F472" s="1571">
        <f>F471-D471</f>
        <v/>
      </c>
      <c r="G472" s="1572">
        <f>G471-D472</f>
        <v/>
      </c>
      <c r="H472" s="1670" t="n"/>
    </row>
    <row r="473" ht="26.25" customHeight="1" s="862">
      <c r="A473" s="1568" t="inlineStr">
        <is>
          <t>JT.#241</t>
        </is>
      </c>
      <c r="B473" s="1568" t="inlineStr">
        <is>
          <t>3-1/2" TUBING 9.2 LB/FT ALLOY 28 TSH BL</t>
        </is>
      </c>
      <c r="C473" s="1569" t="n">
        <v>31</v>
      </c>
      <c r="D473" s="1669">
        <f>C473</f>
        <v/>
      </c>
      <c r="E473" s="1571">
        <f>E472+D473</f>
        <v/>
      </c>
      <c r="F473" s="1571">
        <f>F472-D472</f>
        <v/>
      </c>
      <c r="G473" s="1572">
        <f>G472-D473</f>
        <v/>
      </c>
      <c r="H473" s="1670" t="n"/>
    </row>
    <row r="474" ht="26.25" customHeight="1" s="862">
      <c r="A474" s="1568" t="inlineStr">
        <is>
          <t>JT.#242</t>
        </is>
      </c>
      <c r="B474" s="1568" t="inlineStr">
        <is>
          <t>3-1/2" TUBING 9.2 LB/FT ALLOY 28 TSH BL</t>
        </is>
      </c>
      <c r="C474" s="1569" t="n">
        <v>31</v>
      </c>
      <c r="D474" s="1669">
        <f>C474</f>
        <v/>
      </c>
      <c r="E474" s="1571">
        <f>E473+D474</f>
        <v/>
      </c>
      <c r="F474" s="1571">
        <f>F473-D473</f>
        <v/>
      </c>
      <c r="G474" s="1572">
        <f>G473-D474</f>
        <v/>
      </c>
      <c r="H474" s="1670" t="n"/>
    </row>
    <row r="475" ht="26.25" customHeight="1" s="862">
      <c r="A475" s="1568" t="inlineStr">
        <is>
          <t>JT.#243</t>
        </is>
      </c>
      <c r="B475" s="1568" t="inlineStr">
        <is>
          <t>3-1/2" TUBING 9.2 LB/FT ALLOY 28 TSH BL</t>
        </is>
      </c>
      <c r="C475" s="1569" t="n">
        <v>31</v>
      </c>
      <c r="D475" s="1669">
        <f>C475</f>
        <v/>
      </c>
      <c r="E475" s="1571">
        <f>E474+D475</f>
        <v/>
      </c>
      <c r="F475" s="1571">
        <f>F474-D474</f>
        <v/>
      </c>
      <c r="G475" s="1572">
        <f>G474-D475</f>
        <v/>
      </c>
      <c r="H475" s="1670" t="n"/>
    </row>
    <row r="476" ht="26.25" customHeight="1" s="862">
      <c r="A476" s="1568" t="inlineStr">
        <is>
          <t>JT.#244</t>
        </is>
      </c>
      <c r="B476" s="1568" t="inlineStr">
        <is>
          <t>3-1/2" TUBING 9.2 LB/FT ALLOY 28 TSH BL</t>
        </is>
      </c>
      <c r="C476" s="1569" t="n">
        <v>31</v>
      </c>
      <c r="D476" s="1669">
        <f>C476</f>
        <v/>
      </c>
      <c r="E476" s="1571">
        <f>E475+D476</f>
        <v/>
      </c>
      <c r="F476" s="1571">
        <f>F475-D475</f>
        <v/>
      </c>
      <c r="G476" s="1572">
        <f>G475-D476</f>
        <v/>
      </c>
      <c r="H476" s="1670" t="n"/>
    </row>
    <row r="477" ht="26.25" customHeight="1" s="862">
      <c r="A477" s="1568" t="inlineStr">
        <is>
          <t>JT.#245</t>
        </is>
      </c>
      <c r="B477" s="1568" t="inlineStr">
        <is>
          <t>3-1/2" TUBING 9.2 LB/FT ALLOY 28 TSH BL</t>
        </is>
      </c>
      <c r="C477" s="1569" t="n">
        <v>31</v>
      </c>
      <c r="D477" s="1669">
        <f>C477</f>
        <v/>
      </c>
      <c r="E477" s="1571">
        <f>E476+D477</f>
        <v/>
      </c>
      <c r="F477" s="1571">
        <f>F476-D476</f>
        <v/>
      </c>
      <c r="G477" s="1572">
        <f>G476-D477</f>
        <v/>
      </c>
      <c r="H477" s="1670" t="n"/>
    </row>
    <row r="478" ht="26.25" customHeight="1" s="862">
      <c r="A478" s="1568" t="inlineStr">
        <is>
          <t>JT.#246</t>
        </is>
      </c>
      <c r="B478" s="1568" t="inlineStr">
        <is>
          <t>3-1/2" TUBING 9.2 LB/FT ALLOY 28 TSH BL</t>
        </is>
      </c>
      <c r="C478" s="1569" t="n">
        <v>31</v>
      </c>
      <c r="D478" s="1669">
        <f>C478</f>
        <v/>
      </c>
      <c r="E478" s="1571">
        <f>E477+D478</f>
        <v/>
      </c>
      <c r="F478" s="1571">
        <f>F477-D477</f>
        <v/>
      </c>
      <c r="G478" s="1572">
        <f>G477-D478</f>
        <v/>
      </c>
      <c r="H478" s="1670" t="n"/>
    </row>
    <row r="479" ht="26.25" customHeight="1" s="862">
      <c r="A479" s="1568" t="inlineStr">
        <is>
          <t>JT.#247</t>
        </is>
      </c>
      <c r="B479" s="1568" t="inlineStr">
        <is>
          <t>3-1/2" TUBING 9.2 LB/FT ALLOY 28 TSH BL</t>
        </is>
      </c>
      <c r="C479" s="1569" t="n">
        <v>31</v>
      </c>
      <c r="D479" s="1669">
        <f>C479</f>
        <v/>
      </c>
      <c r="E479" s="1571">
        <f>E478+D479</f>
        <v/>
      </c>
      <c r="F479" s="1571">
        <f>F478-D478</f>
        <v/>
      </c>
      <c r="G479" s="1572">
        <f>G478-D479</f>
        <v/>
      </c>
      <c r="H479" s="1670" t="n"/>
    </row>
    <row r="480" ht="26.25" customHeight="1" s="862">
      <c r="A480" s="1568" t="inlineStr">
        <is>
          <t>JT.#248</t>
        </is>
      </c>
      <c r="B480" s="1568" t="inlineStr">
        <is>
          <t>3-1/2" TUBING 9.2 LB/FT ALLOY 28 TSH BL</t>
        </is>
      </c>
      <c r="C480" s="1569" t="n">
        <v>31</v>
      </c>
      <c r="D480" s="1669">
        <f>C480</f>
        <v/>
      </c>
      <c r="E480" s="1571">
        <f>E479+D480</f>
        <v/>
      </c>
      <c r="F480" s="1571">
        <f>F479-D479</f>
        <v/>
      </c>
      <c r="G480" s="1572">
        <f>G479-D480</f>
        <v/>
      </c>
      <c r="H480" s="1670" t="n"/>
    </row>
    <row r="481" ht="26.25" customHeight="1" s="862">
      <c r="A481" s="1568" t="inlineStr">
        <is>
          <t>JT.#249</t>
        </is>
      </c>
      <c r="B481" s="1568" t="inlineStr">
        <is>
          <t>3-1/2" TUBING 9.2 LB/FT ALLOY 28 TSH BL</t>
        </is>
      </c>
      <c r="C481" s="1569" t="n">
        <v>31</v>
      </c>
      <c r="D481" s="1669">
        <f>C481</f>
        <v/>
      </c>
      <c r="E481" s="1571">
        <f>E480+D481</f>
        <v/>
      </c>
      <c r="F481" s="1571">
        <f>F480-D480</f>
        <v/>
      </c>
      <c r="G481" s="1572">
        <f>G480-D481</f>
        <v/>
      </c>
      <c r="H481" s="1670" t="n"/>
    </row>
    <row r="482" ht="26.25" customHeight="1" s="862">
      <c r="A482" s="1568" t="inlineStr">
        <is>
          <t>JT.#250</t>
        </is>
      </c>
      <c r="B482" s="1568" t="inlineStr">
        <is>
          <t>3-1/2" TUBING 9.2 LB/FT ALLOY 28 TSH BL</t>
        </is>
      </c>
      <c r="C482" s="1569" t="n">
        <v>31</v>
      </c>
      <c r="D482" s="1669">
        <f>C482</f>
        <v/>
      </c>
      <c r="E482" s="1571">
        <f>E481+D482</f>
        <v/>
      </c>
      <c r="F482" s="1571">
        <f>F481-D481</f>
        <v/>
      </c>
      <c r="G482" s="1572">
        <f>G481-D482</f>
        <v/>
      </c>
      <c r="H482" s="1670" t="n"/>
    </row>
    <row r="483" ht="26.25" customHeight="1" s="862">
      <c r="A483" s="1568" t="inlineStr">
        <is>
          <t>JT.#251</t>
        </is>
      </c>
      <c r="B483" s="1568" t="inlineStr">
        <is>
          <t>3-1/2" TUBING 9.2 LB/FT ALLOY 28 TSH BL</t>
        </is>
      </c>
      <c r="C483" s="1569" t="n">
        <v>31</v>
      </c>
      <c r="D483" s="1669">
        <f>C483</f>
        <v/>
      </c>
      <c r="E483" s="1571">
        <f>E482+D483</f>
        <v/>
      </c>
      <c r="F483" s="1571">
        <f>F482-D482</f>
        <v/>
      </c>
      <c r="G483" s="1572">
        <f>G482-D483</f>
        <v/>
      </c>
      <c r="H483" s="1670" t="n"/>
    </row>
    <row r="484" ht="26.25" customHeight="1" s="862">
      <c r="A484" s="1568" t="inlineStr">
        <is>
          <t>JT.#252</t>
        </is>
      </c>
      <c r="B484" s="1568" t="inlineStr">
        <is>
          <t>3-1/2" TUBING 9.2 LB/FT ALLOY 28 TSH BL</t>
        </is>
      </c>
      <c r="C484" s="1569" t="n">
        <v>31</v>
      </c>
      <c r="D484" s="1669">
        <f>C484</f>
        <v/>
      </c>
      <c r="E484" s="1571">
        <f>E483+D484</f>
        <v/>
      </c>
      <c r="F484" s="1571">
        <f>F483-D483</f>
        <v/>
      </c>
      <c r="G484" s="1572">
        <f>G483-D484</f>
        <v/>
      </c>
      <c r="H484" s="1670" t="n"/>
    </row>
    <row r="485" ht="26.25" customHeight="1" s="862">
      <c r="A485" s="1568" t="inlineStr">
        <is>
          <t>JT.#253</t>
        </is>
      </c>
      <c r="B485" s="1568" t="inlineStr">
        <is>
          <t>3-1/2" TUBING 9.2 LB/FT ALLOY 28 TSH BL</t>
        </is>
      </c>
      <c r="C485" s="1569" t="n">
        <v>31</v>
      </c>
      <c r="D485" s="1669">
        <f>C485</f>
        <v/>
      </c>
      <c r="E485" s="1571">
        <f>E484+D485</f>
        <v/>
      </c>
      <c r="F485" s="1571">
        <f>F484-D484</f>
        <v/>
      </c>
      <c r="G485" s="1572">
        <f>G484-D485</f>
        <v/>
      </c>
      <c r="H485" s="1670" t="n"/>
    </row>
    <row r="486" ht="26.25" customHeight="1" s="862">
      <c r="A486" s="1568" t="inlineStr">
        <is>
          <t>JT.#254</t>
        </is>
      </c>
      <c r="B486" s="1568" t="inlineStr">
        <is>
          <t>3-1/2" TUBING 9.2 LB/FT ALLOY 28 TSH BL</t>
        </is>
      </c>
      <c r="C486" s="1569" t="n">
        <v>31</v>
      </c>
      <c r="D486" s="1669">
        <f>C486</f>
        <v/>
      </c>
      <c r="E486" s="1571">
        <f>E485+D486</f>
        <v/>
      </c>
      <c r="F486" s="1571">
        <f>F485-D485</f>
        <v/>
      </c>
      <c r="G486" s="1572">
        <f>G485-D486</f>
        <v/>
      </c>
      <c r="H486" s="1670" t="n"/>
    </row>
    <row r="487" ht="26.25" customHeight="1" s="862">
      <c r="A487" s="1568" t="inlineStr">
        <is>
          <t>JT.#255</t>
        </is>
      </c>
      <c r="B487" s="1568" t="inlineStr">
        <is>
          <t>3-1/2" TUBING 9.2 LB/FT ALLOY 28 TSH BL</t>
        </is>
      </c>
      <c r="C487" s="1569" t="n">
        <v>31</v>
      </c>
      <c r="D487" s="1669">
        <f>C487</f>
        <v/>
      </c>
      <c r="E487" s="1571">
        <f>E486+D487</f>
        <v/>
      </c>
      <c r="F487" s="1571">
        <f>F486-D486</f>
        <v/>
      </c>
      <c r="G487" s="1572">
        <f>G486-D487</f>
        <v/>
      </c>
      <c r="H487" s="1670" t="n"/>
    </row>
    <row r="488" ht="26.25" customHeight="1" s="862">
      <c r="A488" s="1568" t="inlineStr">
        <is>
          <t>JT.#256</t>
        </is>
      </c>
      <c r="B488" s="1568" t="inlineStr">
        <is>
          <t>3-1/2" TUBING 9.2 LB/FT ALLOY 28 TSH BL</t>
        </is>
      </c>
      <c r="C488" s="1569" t="n">
        <v>31</v>
      </c>
      <c r="D488" s="1669">
        <f>C488</f>
        <v/>
      </c>
      <c r="E488" s="1571">
        <f>E487+D488</f>
        <v/>
      </c>
      <c r="F488" s="1571">
        <f>F487-D487</f>
        <v/>
      </c>
      <c r="G488" s="1572">
        <f>G487-D488</f>
        <v/>
      </c>
      <c r="H488" s="1670" t="n"/>
    </row>
    <row r="489" ht="26.25" customHeight="1" s="862">
      <c r="A489" s="1568" t="inlineStr">
        <is>
          <t>JT.#257</t>
        </is>
      </c>
      <c r="B489" s="1568" t="inlineStr">
        <is>
          <t>3-1/2" TUBING 9.2 LB/FT ALLOY 28 TSH BL</t>
        </is>
      </c>
      <c r="C489" s="1569" t="n">
        <v>31</v>
      </c>
      <c r="D489" s="1669">
        <f>C489</f>
        <v/>
      </c>
      <c r="E489" s="1571">
        <f>E488+D489</f>
        <v/>
      </c>
      <c r="F489" s="1571">
        <f>F488-D488</f>
        <v/>
      </c>
      <c r="G489" s="1572">
        <f>G488-D489</f>
        <v/>
      </c>
      <c r="H489" s="1670" t="n"/>
    </row>
    <row r="490" ht="26.25" customHeight="1" s="862">
      <c r="A490" s="1568" t="inlineStr">
        <is>
          <t>JT.#258</t>
        </is>
      </c>
      <c r="B490" s="1568" t="inlineStr">
        <is>
          <t>3-1/2" TUBING 9.2 LB/FT ALLOY 28 TSH BL</t>
        </is>
      </c>
      <c r="C490" s="1569" t="n">
        <v>31</v>
      </c>
      <c r="D490" s="1669">
        <f>C490</f>
        <v/>
      </c>
      <c r="E490" s="1571">
        <f>E489+D490</f>
        <v/>
      </c>
      <c r="F490" s="1571">
        <f>F489-D489</f>
        <v/>
      </c>
      <c r="G490" s="1572">
        <f>G489-D490</f>
        <v/>
      </c>
      <c r="H490" s="1670" t="n"/>
    </row>
    <row r="491" ht="26.25" customHeight="1" s="862">
      <c r="A491" s="1568" t="inlineStr">
        <is>
          <t>JT.#259</t>
        </is>
      </c>
      <c r="B491" s="1568" t="inlineStr">
        <is>
          <t>3-1/2" TUBING 9.2 LB/FT ALLOY 28 TSH BL</t>
        </is>
      </c>
      <c r="C491" s="1569" t="n">
        <v>31</v>
      </c>
      <c r="D491" s="1669">
        <f>C491</f>
        <v/>
      </c>
      <c r="E491" s="1571">
        <f>E490+D491</f>
        <v/>
      </c>
      <c r="F491" s="1571">
        <f>F490-D490</f>
        <v/>
      </c>
      <c r="G491" s="1572">
        <f>G490-D491</f>
        <v/>
      </c>
      <c r="H491" s="1670" t="n"/>
    </row>
    <row r="492" ht="26.25" customHeight="1" s="862">
      <c r="A492" s="1568" t="inlineStr">
        <is>
          <t>JT.#260</t>
        </is>
      </c>
      <c r="B492" s="1568" t="inlineStr">
        <is>
          <t>3-1/2" TUBING 9.2 LB/FT ALLOY 28 TSH BL</t>
        </is>
      </c>
      <c r="C492" s="1569" t="n">
        <v>31</v>
      </c>
      <c r="D492" s="1669">
        <f>C492</f>
        <v/>
      </c>
      <c r="E492" s="1571">
        <f>E491+D492</f>
        <v/>
      </c>
      <c r="F492" s="1571">
        <f>F491-D491</f>
        <v/>
      </c>
      <c r="G492" s="1572">
        <f>G491-D492</f>
        <v/>
      </c>
      <c r="H492" s="1670" t="n"/>
    </row>
    <row r="493" ht="26.25" customHeight="1" s="862">
      <c r="A493" s="1568" t="inlineStr">
        <is>
          <t>JT.#261</t>
        </is>
      </c>
      <c r="B493" s="1568" t="inlineStr">
        <is>
          <t>3-1/2" TUBING 9.2 LB/FT ALLOY 28 TSH BL</t>
        </is>
      </c>
      <c r="C493" s="1569" t="n">
        <v>31</v>
      </c>
      <c r="D493" s="1669">
        <f>C493</f>
        <v/>
      </c>
      <c r="E493" s="1571">
        <f>E492+D493</f>
        <v/>
      </c>
      <c r="F493" s="1571">
        <f>F492-D492</f>
        <v/>
      </c>
      <c r="G493" s="1572">
        <f>G492-D493</f>
        <v/>
      </c>
      <c r="H493" s="1670" t="n"/>
    </row>
    <row r="494" ht="26.25" customHeight="1" s="862">
      <c r="A494" s="1568" t="inlineStr">
        <is>
          <t>JT.#262</t>
        </is>
      </c>
      <c r="B494" s="1568" t="inlineStr">
        <is>
          <t>3-1/2" TUBING 9.2 LB/FT ALLOY 28 TSH BL</t>
        </is>
      </c>
      <c r="C494" s="1569" t="n">
        <v>31</v>
      </c>
      <c r="D494" s="1669">
        <f>C494</f>
        <v/>
      </c>
      <c r="E494" s="1571">
        <f>E493+D494</f>
        <v/>
      </c>
      <c r="F494" s="1571">
        <f>F493-D493</f>
        <v/>
      </c>
      <c r="G494" s="1572">
        <f>G493-D494</f>
        <v/>
      </c>
      <c r="H494" s="1670" t="n"/>
    </row>
    <row r="495" ht="26.25" customHeight="1" s="862">
      <c r="A495" s="1568" t="inlineStr">
        <is>
          <t>JT.#263</t>
        </is>
      </c>
      <c r="B495" s="1568" t="inlineStr">
        <is>
          <t>3-1/2" TUBING 9.2 LB/FT ALLOY 28 TSH BL</t>
        </is>
      </c>
      <c r="C495" s="1569" t="n">
        <v>31</v>
      </c>
      <c r="D495" s="1669">
        <f>C495</f>
        <v/>
      </c>
      <c r="E495" s="1571">
        <f>E494+D495</f>
        <v/>
      </c>
      <c r="F495" s="1571">
        <f>F494-D494</f>
        <v/>
      </c>
      <c r="G495" s="1572">
        <f>G494-D495</f>
        <v/>
      </c>
      <c r="H495" s="1670" t="n"/>
    </row>
    <row r="496" ht="26.25" customHeight="1" s="862">
      <c r="A496" s="1568" t="inlineStr">
        <is>
          <t>JT.#264</t>
        </is>
      </c>
      <c r="B496" s="1568" t="inlineStr">
        <is>
          <t>3-1/2" TUBING 9.2 LB/FT ALLOY 28 TSH BL</t>
        </is>
      </c>
      <c r="C496" s="1569" t="n">
        <v>31</v>
      </c>
      <c r="D496" s="1669">
        <f>C496</f>
        <v/>
      </c>
      <c r="E496" s="1571">
        <f>E495+D496</f>
        <v/>
      </c>
      <c r="F496" s="1571">
        <f>F495-D495</f>
        <v/>
      </c>
      <c r="G496" s="1572">
        <f>G495-D496</f>
        <v/>
      </c>
      <c r="H496" s="1670" t="n"/>
    </row>
    <row r="497" ht="26.25" customHeight="1" s="862">
      <c r="A497" s="1568" t="inlineStr">
        <is>
          <t>JT.#265</t>
        </is>
      </c>
      <c r="B497" s="1568" t="inlineStr">
        <is>
          <t>3-1/2" TUBING 9.2 LB/FT ALLOY 28 TSH BL</t>
        </is>
      </c>
      <c r="C497" s="1569" t="n">
        <v>31</v>
      </c>
      <c r="D497" s="1669">
        <f>C497</f>
        <v/>
      </c>
      <c r="E497" s="1571">
        <f>E496+D497</f>
        <v/>
      </c>
      <c r="F497" s="1571">
        <f>F496-D496</f>
        <v/>
      </c>
      <c r="G497" s="1572">
        <f>G496-D497</f>
        <v/>
      </c>
      <c r="H497" s="1670" t="n"/>
    </row>
    <row r="498" ht="26.25" customHeight="1" s="862">
      <c r="A498" s="1568" t="inlineStr">
        <is>
          <t>JT.#266</t>
        </is>
      </c>
      <c r="B498" s="1568" t="inlineStr">
        <is>
          <t>3-1/2" TUBING 9.2 LB/FT ALLOY 28 TSH BL</t>
        </is>
      </c>
      <c r="C498" s="1569" t="n">
        <v>31</v>
      </c>
      <c r="D498" s="1669">
        <f>C498</f>
        <v/>
      </c>
      <c r="E498" s="1571">
        <f>E497+D498</f>
        <v/>
      </c>
      <c r="F498" s="1571">
        <f>F497-D497</f>
        <v/>
      </c>
      <c r="G498" s="1572">
        <f>G497-D498</f>
        <v/>
      </c>
      <c r="H498" s="1670" t="n"/>
    </row>
    <row r="499" ht="26.25" customHeight="1" s="862">
      <c r="A499" s="1568" t="inlineStr">
        <is>
          <t>JT.#267</t>
        </is>
      </c>
      <c r="B499" s="1568" t="inlineStr">
        <is>
          <t>3-1/2" TUBING 9.2 LB/FT ALLOY 28 TSH BL</t>
        </is>
      </c>
      <c r="C499" s="1569" t="n">
        <v>31</v>
      </c>
      <c r="D499" s="1669">
        <f>C499</f>
        <v/>
      </c>
      <c r="E499" s="1571">
        <f>E498+D499</f>
        <v/>
      </c>
      <c r="F499" s="1571">
        <f>F498-D498</f>
        <v/>
      </c>
      <c r="G499" s="1572">
        <f>G498-D499</f>
        <v/>
      </c>
      <c r="H499" s="1670" t="n"/>
    </row>
    <row r="500" ht="26.25" customHeight="1" s="862">
      <c r="A500" s="1568" t="inlineStr">
        <is>
          <t>JT.#268</t>
        </is>
      </c>
      <c r="B500" s="1568" t="inlineStr">
        <is>
          <t>3-1/2" TUBING 9.2 LB/FT ALLOY 28 TSH BL</t>
        </is>
      </c>
      <c r="C500" s="1569" t="n">
        <v>31</v>
      </c>
      <c r="D500" s="1669">
        <f>C500</f>
        <v/>
      </c>
      <c r="E500" s="1571">
        <f>E499+D500</f>
        <v/>
      </c>
      <c r="F500" s="1571">
        <f>F499-D499</f>
        <v/>
      </c>
      <c r="G500" s="1572">
        <f>G499-D500</f>
        <v/>
      </c>
      <c r="H500" s="1670" t="n"/>
    </row>
    <row r="501" ht="26.25" customHeight="1" s="862">
      <c r="A501" s="1568" t="inlineStr">
        <is>
          <t>JT.#269</t>
        </is>
      </c>
      <c r="B501" s="1568" t="inlineStr">
        <is>
          <t>3-1/2" TUBING 9.2 LB/FT ALLOY 28 TSH BL</t>
        </is>
      </c>
      <c r="C501" s="1569" t="n">
        <v>31</v>
      </c>
      <c r="D501" s="1669">
        <f>C501</f>
        <v/>
      </c>
      <c r="E501" s="1571">
        <f>E500+D501</f>
        <v/>
      </c>
      <c r="F501" s="1571">
        <f>F500-D500</f>
        <v/>
      </c>
      <c r="G501" s="1572">
        <f>G500-D501</f>
        <v/>
      </c>
      <c r="H501" s="1670" t="n"/>
    </row>
    <row r="502" ht="26.25" customHeight="1" s="862">
      <c r="A502" s="1568" t="inlineStr">
        <is>
          <t>JT.#270</t>
        </is>
      </c>
      <c r="B502" s="1568" t="inlineStr">
        <is>
          <t>3-1/2" TUBING 9.2 LB/FT ALLOY 28 TSH BL</t>
        </is>
      </c>
      <c r="C502" s="1569" t="n">
        <v>31</v>
      </c>
      <c r="D502" s="1669">
        <f>C502</f>
        <v/>
      </c>
      <c r="E502" s="1571">
        <f>E501+D502</f>
        <v/>
      </c>
      <c r="F502" s="1571">
        <f>F501-D501</f>
        <v/>
      </c>
      <c r="G502" s="1572">
        <f>G501-D502</f>
        <v/>
      </c>
      <c r="H502" s="1670" t="n"/>
    </row>
    <row r="503" ht="26.25" customHeight="1" s="862">
      <c r="A503" s="1568" t="inlineStr">
        <is>
          <t>JT.#271</t>
        </is>
      </c>
      <c r="B503" s="1568" t="inlineStr">
        <is>
          <t>3-1/2" TUBING 9.2 LB/FT ALLOY 28 TSH BL</t>
        </is>
      </c>
      <c r="C503" s="1569" t="n">
        <v>31</v>
      </c>
      <c r="D503" s="1669">
        <f>C503</f>
        <v/>
      </c>
      <c r="E503" s="1571">
        <f>E502+D503</f>
        <v/>
      </c>
      <c r="F503" s="1571">
        <f>F502-D502</f>
        <v/>
      </c>
      <c r="G503" s="1572">
        <f>G502-D503</f>
        <v/>
      </c>
      <c r="H503" s="1670" t="n"/>
    </row>
    <row r="504" ht="26.25" customHeight="1" s="862">
      <c r="A504" s="1568" t="inlineStr">
        <is>
          <t>JT.#272</t>
        </is>
      </c>
      <c r="B504" s="1568" t="inlineStr">
        <is>
          <t>3-1/2" TUBING 9.2 LB/FT ALLOY 28 TSH BL</t>
        </is>
      </c>
      <c r="C504" s="1569" t="n">
        <v>31</v>
      </c>
      <c r="D504" s="1669">
        <f>C504</f>
        <v/>
      </c>
      <c r="E504" s="1571">
        <f>E503+D504</f>
        <v/>
      </c>
      <c r="F504" s="1571">
        <f>F503-D503</f>
        <v/>
      </c>
      <c r="G504" s="1572">
        <f>G503-D504</f>
        <v/>
      </c>
      <c r="H504" s="1670" t="n"/>
    </row>
    <row r="505" ht="26.25" customHeight="1" s="862">
      <c r="A505" s="1568" t="inlineStr">
        <is>
          <t>JT.#273</t>
        </is>
      </c>
      <c r="B505" s="1568" t="inlineStr">
        <is>
          <t>3-1/2" TUBING 9.2 LB/FT ALLOY 28 TSH BL</t>
        </is>
      </c>
      <c r="C505" s="1569" t="n">
        <v>31</v>
      </c>
      <c r="D505" s="1669">
        <f>C505</f>
        <v/>
      </c>
      <c r="E505" s="1571">
        <f>E504+D505</f>
        <v/>
      </c>
      <c r="F505" s="1571">
        <f>F504-D504</f>
        <v/>
      </c>
      <c r="G505" s="1572">
        <f>G504-D505</f>
        <v/>
      </c>
      <c r="H505" s="1670" t="n"/>
    </row>
    <row r="506" ht="26.25" customHeight="1" s="862">
      <c r="A506" s="1568" t="inlineStr">
        <is>
          <t>JT.#274</t>
        </is>
      </c>
      <c r="B506" s="1568" t="inlineStr">
        <is>
          <t>3-1/2" TUBING 9.2 LB/FT ALLOY 28 TSH BL</t>
        </is>
      </c>
      <c r="C506" s="1569" t="n">
        <v>31</v>
      </c>
      <c r="D506" s="1669">
        <f>C506</f>
        <v/>
      </c>
      <c r="E506" s="1571">
        <f>E505+D506</f>
        <v/>
      </c>
      <c r="F506" s="1571">
        <f>F505-D505</f>
        <v/>
      </c>
      <c r="G506" s="1572">
        <f>G505-D506</f>
        <v/>
      </c>
      <c r="H506" s="1670" t="n"/>
    </row>
    <row r="507" ht="26.25" customHeight="1" s="862">
      <c r="A507" s="1568" t="inlineStr">
        <is>
          <t>JT.#275</t>
        </is>
      </c>
      <c r="B507" s="1568" t="inlineStr">
        <is>
          <t>3-1/2" TUBING 9.2 LB/FT ALLOY 28 TSH BL</t>
        </is>
      </c>
      <c r="C507" s="1569" t="n">
        <v>31</v>
      </c>
      <c r="D507" s="1669">
        <f>C507</f>
        <v/>
      </c>
      <c r="E507" s="1571">
        <f>E506+D507</f>
        <v/>
      </c>
      <c r="F507" s="1571">
        <f>F506-D506</f>
        <v/>
      </c>
      <c r="G507" s="1572">
        <f>G506-D507</f>
        <v/>
      </c>
      <c r="H507" s="1670" t="n"/>
    </row>
    <row r="508" ht="26.25" customHeight="1" s="862">
      <c r="A508" s="1568" t="inlineStr">
        <is>
          <t>JT.#276</t>
        </is>
      </c>
      <c r="B508" s="1568" t="inlineStr">
        <is>
          <t>3-1/2" TUBING 9.2 LB/FT ALLOY 28 TSH BL</t>
        </is>
      </c>
      <c r="C508" s="1569" t="n">
        <v>31</v>
      </c>
      <c r="D508" s="1669">
        <f>C508</f>
        <v/>
      </c>
      <c r="E508" s="1571">
        <f>E507+D508</f>
        <v/>
      </c>
      <c r="F508" s="1571">
        <f>F507-D507</f>
        <v/>
      </c>
      <c r="G508" s="1572">
        <f>G507-D508</f>
        <v/>
      </c>
      <c r="H508" s="1670" t="n"/>
    </row>
    <row r="509" ht="26.25" customHeight="1" s="862">
      <c r="A509" s="1568" t="inlineStr">
        <is>
          <t>JT.#277</t>
        </is>
      </c>
      <c r="B509" s="1568" t="inlineStr">
        <is>
          <t>3-1/2" TUBING 9.2 LB/FT ALLOY 28 TSH BL</t>
        </is>
      </c>
      <c r="C509" s="1569" t="n">
        <v>31</v>
      </c>
      <c r="D509" s="1669">
        <f>C509</f>
        <v/>
      </c>
      <c r="E509" s="1571">
        <f>E508+D509</f>
        <v/>
      </c>
      <c r="F509" s="1571">
        <f>F508-D508</f>
        <v/>
      </c>
      <c r="G509" s="1572">
        <f>G508-D509</f>
        <v/>
      </c>
      <c r="H509" s="1670" t="n"/>
    </row>
    <row r="510" ht="26.25" customHeight="1" s="862">
      <c r="A510" s="1568" t="inlineStr">
        <is>
          <t>JT.#278</t>
        </is>
      </c>
      <c r="B510" s="1568" t="inlineStr">
        <is>
          <t>3-1/2" TUBING 9.2 LB/FT ALLOY 28 TSH BL</t>
        </is>
      </c>
      <c r="C510" s="1569" t="n">
        <v>31</v>
      </c>
      <c r="D510" s="1669">
        <f>C510</f>
        <v/>
      </c>
      <c r="E510" s="1571">
        <f>E509+D510</f>
        <v/>
      </c>
      <c r="F510" s="1571">
        <f>F509-D509</f>
        <v/>
      </c>
      <c r="G510" s="1572">
        <f>G509-D510</f>
        <v/>
      </c>
      <c r="H510" s="1670" t="n"/>
    </row>
    <row r="511" ht="26.25" customHeight="1" s="862">
      <c r="A511" s="1568" t="inlineStr">
        <is>
          <t>JT.#279</t>
        </is>
      </c>
      <c r="B511" s="1568" t="inlineStr">
        <is>
          <t>3-1/2" TUBING 9.2 LB/FT ALLOY 28 TSH BL</t>
        </is>
      </c>
      <c r="C511" s="1569" t="n">
        <v>31</v>
      </c>
      <c r="D511" s="1669">
        <f>C511</f>
        <v/>
      </c>
      <c r="E511" s="1571">
        <f>E510+D511</f>
        <v/>
      </c>
      <c r="F511" s="1571">
        <f>F510-D510</f>
        <v/>
      </c>
      <c r="G511" s="1572">
        <f>G510-D511</f>
        <v/>
      </c>
      <c r="H511" s="1670" t="n"/>
    </row>
    <row r="512" ht="26.25" customHeight="1" s="862">
      <c r="A512" s="1568" t="inlineStr">
        <is>
          <t>JT.#280</t>
        </is>
      </c>
      <c r="B512" s="1568" t="inlineStr">
        <is>
          <t>3-1/2" TUBING 9.2 LB/FT ALLOY 28 TSH BL</t>
        </is>
      </c>
      <c r="C512" s="1569" t="n">
        <v>31</v>
      </c>
      <c r="D512" s="1669">
        <f>C512</f>
        <v/>
      </c>
      <c r="E512" s="1571">
        <f>E511+D512</f>
        <v/>
      </c>
      <c r="F512" s="1571">
        <f>F511-D511</f>
        <v/>
      </c>
      <c r="G512" s="1572">
        <f>G511-D512</f>
        <v/>
      </c>
      <c r="H512" s="1670" t="n"/>
    </row>
    <row r="513" ht="26.25" customHeight="1" s="862">
      <c r="A513" s="1568" t="inlineStr">
        <is>
          <t>JT.#281</t>
        </is>
      </c>
      <c r="B513" s="1568" t="inlineStr">
        <is>
          <t>3-1/2" TUBING 9.2 LB/FT ALLOY 28 TSH BL</t>
        </is>
      </c>
      <c r="C513" s="1569" t="n">
        <v>31</v>
      </c>
      <c r="D513" s="1669">
        <f>C513</f>
        <v/>
      </c>
      <c r="E513" s="1571">
        <f>E512+D513</f>
        <v/>
      </c>
      <c r="F513" s="1571">
        <f>F512-D512</f>
        <v/>
      </c>
      <c r="G513" s="1572">
        <f>G512-D513</f>
        <v/>
      </c>
      <c r="H513" s="1670" t="n"/>
    </row>
    <row r="514" ht="26.25" customHeight="1" s="862">
      <c r="A514" s="1568" t="inlineStr">
        <is>
          <t>JT.#282</t>
        </is>
      </c>
      <c r="B514" s="1568" t="inlineStr">
        <is>
          <t>3-1/2" TUBING 9.2 LB/FT ALLOY 28 TSH BL</t>
        </is>
      </c>
      <c r="C514" s="1569" t="n">
        <v>31</v>
      </c>
      <c r="D514" s="1669">
        <f>C514</f>
        <v/>
      </c>
      <c r="E514" s="1571">
        <f>E513+D514</f>
        <v/>
      </c>
      <c r="F514" s="1571">
        <f>F513-D513</f>
        <v/>
      </c>
      <c r="G514" s="1572">
        <f>G513-D514</f>
        <v/>
      </c>
      <c r="H514" s="1670" t="n"/>
    </row>
    <row r="515" ht="26.25" customHeight="1" s="862">
      <c r="A515" s="1568" t="inlineStr">
        <is>
          <t>JT.#283</t>
        </is>
      </c>
      <c r="B515" s="1568" t="inlineStr">
        <is>
          <t>3-1/2" TUBING 9.2 LB/FT ALLOY 28 TSH BL</t>
        </is>
      </c>
      <c r="C515" s="1569" t="n">
        <v>31</v>
      </c>
      <c r="D515" s="1669">
        <f>C515</f>
        <v/>
      </c>
      <c r="E515" s="1571">
        <f>E514+D515</f>
        <v/>
      </c>
      <c r="F515" s="1571">
        <f>F514-D514</f>
        <v/>
      </c>
      <c r="G515" s="1572">
        <f>G514-D515</f>
        <v/>
      </c>
      <c r="H515" s="1670" t="n"/>
    </row>
    <row r="516" ht="26.25" customHeight="1" s="862">
      <c r="A516" s="1568" t="inlineStr">
        <is>
          <t>JT.#284</t>
        </is>
      </c>
      <c r="B516" s="1568" t="inlineStr">
        <is>
          <t>3-1/2" TUBING 9.2 LB/FT ALLOY 28 TSH BL</t>
        </is>
      </c>
      <c r="C516" s="1569" t="n">
        <v>31</v>
      </c>
      <c r="D516" s="1669">
        <f>C516</f>
        <v/>
      </c>
      <c r="E516" s="1571">
        <f>E515+D516</f>
        <v/>
      </c>
      <c r="F516" s="1571">
        <f>F515-D515</f>
        <v/>
      </c>
      <c r="G516" s="1572">
        <f>G515-D516</f>
        <v/>
      </c>
      <c r="H516" s="1670" t="n"/>
    </row>
    <row r="517" ht="75.75" customHeight="1" s="862">
      <c r="A517" s="1677" t="inlineStr">
        <is>
          <t>D4</t>
        </is>
      </c>
      <c r="B517" s="1678" t="inlineStr">
        <is>
          <t>UPPER CONN. 3-1/2" VAM TOP BOX 9.2 PPF SN 28 110 KSI
DESCRIPTION: 5 FEET XOVER
SAP: 130005011340
SUPPLIER: TENARIS
LOWER CONN. 3-1/2" TSH BLUE PIN 9.2 PPF SN 28 110 KSI</t>
        </is>
      </c>
      <c r="C517" s="1679" t="n">
        <v>5.18</v>
      </c>
      <c r="D517" s="1669">
        <f>C517</f>
        <v/>
      </c>
      <c r="E517" s="1571">
        <f>E516+D517</f>
        <v/>
      </c>
      <c r="F517" s="1571">
        <f>F516-D516</f>
        <v/>
      </c>
      <c r="G517" s="1572">
        <f>G516-D517</f>
        <v/>
      </c>
      <c r="H517" s="1670" t="n"/>
    </row>
    <row r="518" ht="75.75" customHeight="1" s="862">
      <c r="A518" s="1582" t="n"/>
      <c r="B518" s="1678" t="inlineStr">
        <is>
          <t>UPPER CONN. 3-1/2" SENTINEL PRIME BOX 9.2 PPF TX28-110 KSI
DESCRIPTION: 5 FEET XOVER
SAP: 130013006385
SUPPLIER: TBX
LOWER CONN. 3-1/2" VAM TOP PIN 9.2 PPF TX28-110 KSI</t>
        </is>
      </c>
      <c r="C518" s="1679" t="n">
        <v>4.96</v>
      </c>
      <c r="D518" s="1669">
        <f>C518</f>
        <v/>
      </c>
      <c r="E518" s="1571">
        <f>E517+D518</f>
        <v/>
      </c>
      <c r="F518" s="1571">
        <f>F517-D517</f>
        <v/>
      </c>
      <c r="G518" s="1572">
        <f>G517-D518</f>
        <v/>
      </c>
      <c r="H518" s="1670" t="n"/>
    </row>
    <row r="519" ht="135.75" customHeight="1" s="862">
      <c r="A519" s="1582" t="n"/>
      <c r="B519" s="1678"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679" t="n">
        <v>8.69</v>
      </c>
      <c r="D519" s="1669">
        <f>C519</f>
        <v/>
      </c>
      <c r="E519" s="1571">
        <f>E518+D519</f>
        <v/>
      </c>
      <c r="F519" s="1571">
        <f>F518-D518</f>
        <v/>
      </c>
      <c r="G519" s="1572">
        <f>G518-D519</f>
        <v/>
      </c>
      <c r="H519" s="1670" t="n"/>
    </row>
    <row r="520" ht="75.75" customHeight="1" s="862">
      <c r="A520" s="1582" t="n"/>
      <c r="B520" s="1678" t="inlineStr">
        <is>
          <t>UPPER CONN. 3-1/2" VAM TOP BOX 9.2 PPF TX28- 110 KSI
DESCRIPTION: 10 FEET XOVER
SAP: 1130013006387
SUPPLIER: TBX
LOWER CONN-3-1/2" SENTINELPRIME PIN 9.2 PPF TX28110 KSI</t>
        </is>
      </c>
      <c r="C520" s="1679" t="n">
        <v>9.779999999999999</v>
      </c>
      <c r="D520" s="1669">
        <f>C520</f>
        <v/>
      </c>
      <c r="E520" s="1571">
        <f>E519+D520</f>
        <v/>
      </c>
      <c r="F520" s="1571">
        <f>F519-D519</f>
        <v/>
      </c>
      <c r="G520" s="1572">
        <f>G519-D520</f>
        <v/>
      </c>
      <c r="H520" s="1670" t="n"/>
    </row>
    <row r="521" ht="75.75" customHeight="1" s="862">
      <c r="A521" s="1148" t="n"/>
      <c r="B521" s="1678" t="inlineStr">
        <is>
          <t>UPPER CONN. 3-1/2" TSH BLUE BOX 9.2 PPF SN 28 110 KSI
DESCRIPTION: 5 FEET XOVER
SAP: 130005011340
SUPPLIER: TENARIS
LOWER CONN. 3-1/2" VAM TOP PIN 9.2 PPF SN 28 110 KSI</t>
        </is>
      </c>
      <c r="C521" s="1679" t="n">
        <v>4.96</v>
      </c>
      <c r="D521" s="1669">
        <f>C521</f>
        <v/>
      </c>
      <c r="E521" s="1571">
        <f>E520+D521</f>
        <v/>
      </c>
      <c r="F521" s="1571">
        <f>F520-D520</f>
        <v/>
      </c>
      <c r="G521" s="1572">
        <f>G520-D521</f>
        <v/>
      </c>
      <c r="H521" s="1670" t="n"/>
    </row>
    <row r="522" ht="26.25" customHeight="1" s="862">
      <c r="A522" s="1568" t="inlineStr">
        <is>
          <t>JT.#285</t>
        </is>
      </c>
      <c r="B522" s="1568" t="inlineStr">
        <is>
          <t>3-1/2" TUBING 9.2 LB/FT ALLOY 28 TSH BL</t>
        </is>
      </c>
      <c r="C522" s="1569" t="n">
        <v>31</v>
      </c>
      <c r="D522" s="1669">
        <f>C522</f>
        <v/>
      </c>
      <c r="E522" s="1571">
        <f>E521+D522</f>
        <v/>
      </c>
      <c r="F522" s="1571">
        <f>F521-D521</f>
        <v/>
      </c>
      <c r="G522" s="1572">
        <f>G521-D522</f>
        <v/>
      </c>
      <c r="H522" s="1670" t="n"/>
    </row>
    <row r="523" ht="26.25" customHeight="1" s="862">
      <c r="A523" s="1568" t="inlineStr">
        <is>
          <t>JT.#286</t>
        </is>
      </c>
      <c r="B523" s="1568" t="inlineStr">
        <is>
          <t>3-1/2" TUBING 9.2 LB/FT ALLOY 28 TSH BL</t>
        </is>
      </c>
      <c r="C523" s="1569" t="n">
        <v>31</v>
      </c>
      <c r="D523" s="1669">
        <f>C523</f>
        <v/>
      </c>
      <c r="E523" s="1571">
        <f>E522+D523</f>
        <v/>
      </c>
      <c r="F523" s="1571">
        <f>F522-D522</f>
        <v/>
      </c>
      <c r="G523" s="1572">
        <f>G522-D523</f>
        <v/>
      </c>
      <c r="H523" s="1670" t="n"/>
    </row>
    <row r="524" ht="26.25" customHeight="1" s="862">
      <c r="A524" s="1568" t="inlineStr">
        <is>
          <t>JT.#287</t>
        </is>
      </c>
      <c r="B524" s="1568" t="inlineStr">
        <is>
          <t>3-1/2" TUBING 9.2 LB/FT ALLOY 28 TSH BL</t>
        </is>
      </c>
      <c r="C524" s="1569" t="n">
        <v>31</v>
      </c>
      <c r="D524" s="1669">
        <f>C524</f>
        <v/>
      </c>
      <c r="E524" s="1571">
        <f>E523+D524</f>
        <v/>
      </c>
      <c r="F524" s="1571">
        <f>F523-D523</f>
        <v/>
      </c>
      <c r="G524" s="1572">
        <f>G523-D524</f>
        <v/>
      </c>
      <c r="H524" s="1670" t="n"/>
    </row>
    <row r="525" ht="26.25" customHeight="1" s="862">
      <c r="A525" s="1568" t="inlineStr">
        <is>
          <t>JT.#288</t>
        </is>
      </c>
      <c r="B525" s="1568" t="inlineStr">
        <is>
          <t>3-1/2" TUBING 9.2 LB/FT ALLOY 28 TSH BL</t>
        </is>
      </c>
      <c r="C525" s="1569" t="n">
        <v>31</v>
      </c>
      <c r="D525" s="1669">
        <f>C525</f>
        <v/>
      </c>
      <c r="E525" s="1571">
        <f>E524+D525</f>
        <v/>
      </c>
      <c r="F525" s="1571">
        <f>F524-D524</f>
        <v/>
      </c>
      <c r="G525" s="1572">
        <f>G524-D525</f>
        <v/>
      </c>
      <c r="H525" s="1670" t="n"/>
    </row>
    <row r="526" ht="26.25" customHeight="1" s="862">
      <c r="A526" s="1568" t="inlineStr">
        <is>
          <t>JT.#289</t>
        </is>
      </c>
      <c r="B526" s="1568" t="inlineStr">
        <is>
          <t>3-1/2" TUBING 9.2 LB/FT ALLOY 28 TSH BL</t>
        </is>
      </c>
      <c r="C526" s="1569" t="n">
        <v>31</v>
      </c>
      <c r="D526" s="1669">
        <f>C526</f>
        <v/>
      </c>
      <c r="E526" s="1571">
        <f>E525+D526</f>
        <v/>
      </c>
      <c r="F526" s="1571">
        <f>F525-D525</f>
        <v/>
      </c>
      <c r="G526" s="1572">
        <f>G525-D526</f>
        <v/>
      </c>
      <c r="H526" s="1670" t="n"/>
    </row>
    <row r="527" ht="26.25" customHeight="1" s="862">
      <c r="A527" s="1568" t="inlineStr">
        <is>
          <t>JT.#290</t>
        </is>
      </c>
      <c r="B527" s="1568" t="inlineStr">
        <is>
          <t>3-1/2" TUBING 9.2 LB/FT ALLOY 28 TSH BL</t>
        </is>
      </c>
      <c r="C527" s="1569" t="n">
        <v>31</v>
      </c>
      <c r="D527" s="1669">
        <f>C527</f>
        <v/>
      </c>
      <c r="E527" s="1571">
        <f>E526+D527</f>
        <v/>
      </c>
      <c r="F527" s="1571">
        <f>F526-D526</f>
        <v/>
      </c>
      <c r="G527" s="1572">
        <f>G526-D527</f>
        <v/>
      </c>
      <c r="H527" s="1670" t="n"/>
    </row>
    <row r="528" ht="26.25" customHeight="1" s="862">
      <c r="A528" s="1568" t="inlineStr">
        <is>
          <t>JT.#291</t>
        </is>
      </c>
      <c r="B528" s="1568" t="inlineStr">
        <is>
          <t>3-1/2" TUBING 9.2 LB/FT ALLOY 28 TSH BL</t>
        </is>
      </c>
      <c r="C528" s="1569" t="n">
        <v>31</v>
      </c>
      <c r="D528" s="1669">
        <f>C528</f>
        <v/>
      </c>
      <c r="E528" s="1571">
        <f>E527+D528</f>
        <v/>
      </c>
      <c r="F528" s="1571">
        <f>F527-D527</f>
        <v/>
      </c>
      <c r="G528" s="1572">
        <f>G527-D528</f>
        <v/>
      </c>
      <c r="H528" s="1670" t="n"/>
    </row>
    <row r="529" ht="26.25" customHeight="1" s="862">
      <c r="A529" s="1568" t="inlineStr">
        <is>
          <t>JT.#292</t>
        </is>
      </c>
      <c r="B529" s="1568" t="inlineStr">
        <is>
          <t>3-1/2" TUBING 9.2 LB/FT ALLOY 28 TSH BL</t>
        </is>
      </c>
      <c r="C529" s="1569" t="n">
        <v>31</v>
      </c>
      <c r="D529" s="1669">
        <f>C529</f>
        <v/>
      </c>
      <c r="E529" s="1571">
        <f>E528+D529</f>
        <v/>
      </c>
      <c r="F529" s="1571">
        <f>F528-D528</f>
        <v/>
      </c>
      <c r="G529" s="1572">
        <f>G528-D529</f>
        <v/>
      </c>
      <c r="H529" s="1670" t="n"/>
    </row>
    <row r="530" ht="26.25" customHeight="1" s="862">
      <c r="A530" s="1568" t="inlineStr">
        <is>
          <t>JT.#293</t>
        </is>
      </c>
      <c r="B530" s="1568" t="inlineStr">
        <is>
          <t>3-1/2" TUBING 9.2 LB/FT ALLOY 28 TSH BL</t>
        </is>
      </c>
      <c r="C530" s="1569" t="n">
        <v>31</v>
      </c>
      <c r="D530" s="1669">
        <f>C530</f>
        <v/>
      </c>
      <c r="E530" s="1571">
        <f>E529+D530</f>
        <v/>
      </c>
      <c r="F530" s="1571">
        <f>F529-D529</f>
        <v/>
      </c>
      <c r="G530" s="1572">
        <f>G529-D530</f>
        <v/>
      </c>
      <c r="H530" s="1670" t="n"/>
    </row>
    <row r="531" ht="26.25" customHeight="1" s="862">
      <c r="A531" s="1568" t="inlineStr">
        <is>
          <t>JT.#294</t>
        </is>
      </c>
      <c r="B531" s="1568" t="inlineStr">
        <is>
          <t>3-1/2" TUBING 9.2 LB/FT ALLOY 28 TSH BL</t>
        </is>
      </c>
      <c r="C531" s="1569" t="n">
        <v>31</v>
      </c>
      <c r="D531" s="1669">
        <f>C531</f>
        <v/>
      </c>
      <c r="E531" s="1571">
        <f>E530+D531</f>
        <v/>
      </c>
      <c r="F531" s="1571">
        <f>F530-D530</f>
        <v/>
      </c>
      <c r="G531" s="1572">
        <f>G530-D531</f>
        <v/>
      </c>
      <c r="H531" s="1670" t="n"/>
    </row>
    <row r="532" ht="26.25" customHeight="1" s="862">
      <c r="A532" s="1568" t="inlineStr">
        <is>
          <t>JT.#295</t>
        </is>
      </c>
      <c r="B532" s="1568" t="inlineStr">
        <is>
          <t>3-1/2" TUBING 9.2 LB/FT ALLOY 28 TSH BL</t>
        </is>
      </c>
      <c r="C532" s="1569" t="n">
        <v>31</v>
      </c>
      <c r="D532" s="1669">
        <f>C532</f>
        <v/>
      </c>
      <c r="E532" s="1571">
        <f>E531+D532</f>
        <v/>
      </c>
      <c r="F532" s="1571">
        <f>F531-D531</f>
        <v/>
      </c>
      <c r="G532" s="1572">
        <f>G531-D532</f>
        <v/>
      </c>
      <c r="H532" s="1670" t="n"/>
    </row>
    <row r="533" ht="26.25" customHeight="1" s="862">
      <c r="A533" s="1568" t="inlineStr">
        <is>
          <t>JT.#296</t>
        </is>
      </c>
      <c r="B533" s="1568" t="inlineStr">
        <is>
          <t>3-1/2" TUBING 9.2 LB/FT ALLOY 28 TSH BL</t>
        </is>
      </c>
      <c r="C533" s="1569" t="n">
        <v>31</v>
      </c>
      <c r="D533" s="1669">
        <f>C533</f>
        <v/>
      </c>
      <c r="E533" s="1571">
        <f>E532+D533</f>
        <v/>
      </c>
      <c r="F533" s="1571">
        <f>F532-D532</f>
        <v/>
      </c>
      <c r="G533" s="1572">
        <f>G532-D533</f>
        <v/>
      </c>
      <c r="H533" s="1670" t="n"/>
    </row>
    <row r="534" ht="26.25" customHeight="1" s="862">
      <c r="A534" s="1568" t="inlineStr">
        <is>
          <t>JT.#297</t>
        </is>
      </c>
      <c r="B534" s="1568" t="inlineStr">
        <is>
          <t>3-1/2" TUBING 9.2 LB/FT ALLOY 28 TSH BL</t>
        </is>
      </c>
      <c r="C534" s="1569" t="n">
        <v>31</v>
      </c>
      <c r="D534" s="1669">
        <f>C534</f>
        <v/>
      </c>
      <c r="E534" s="1571">
        <f>E533+D534</f>
        <v/>
      </c>
      <c r="F534" s="1571">
        <f>F533-D533</f>
        <v/>
      </c>
      <c r="G534" s="1572">
        <f>G533-D534</f>
        <v/>
      </c>
      <c r="H534" s="1670" t="n"/>
    </row>
    <row r="535" ht="26.25" customHeight="1" s="862">
      <c r="A535" s="1568" t="inlineStr">
        <is>
          <t>JT.#298</t>
        </is>
      </c>
      <c r="B535" s="1568" t="inlineStr">
        <is>
          <t>3-1/2" TUBING 9.2 LB/FT ALLOY 28 TSH BL</t>
        </is>
      </c>
      <c r="C535" s="1569" t="n">
        <v>31</v>
      </c>
      <c r="D535" s="1669">
        <f>C535</f>
        <v/>
      </c>
      <c r="E535" s="1571">
        <f>E534+D535</f>
        <v/>
      </c>
      <c r="F535" s="1571">
        <f>F534-D534</f>
        <v/>
      </c>
      <c r="G535" s="1572">
        <f>G534-D535</f>
        <v/>
      </c>
      <c r="H535" s="1670" t="n"/>
    </row>
    <row r="536" ht="26.25" customHeight="1" s="862">
      <c r="A536" s="1568" t="inlineStr">
        <is>
          <t>JT.#299</t>
        </is>
      </c>
      <c r="B536" s="1568" t="inlineStr">
        <is>
          <t>3-1/2" TUBING 9.2 LB/FT ALLOY 28 TSH BL</t>
        </is>
      </c>
      <c r="C536" s="1569" t="n">
        <v>31</v>
      </c>
      <c r="D536" s="1669">
        <f>C536</f>
        <v/>
      </c>
      <c r="E536" s="1571">
        <f>E535+D536</f>
        <v/>
      </c>
      <c r="F536" s="1571">
        <f>F535-D535</f>
        <v/>
      </c>
      <c r="G536" s="1572">
        <f>G535-D536</f>
        <v/>
      </c>
      <c r="H536" s="1670" t="n"/>
    </row>
    <row r="537" ht="26.25" customHeight="1" s="862">
      <c r="A537" s="1568" t="inlineStr">
        <is>
          <t>JT.#300</t>
        </is>
      </c>
      <c r="B537" s="1568" t="inlineStr">
        <is>
          <t>3-1/2" TUBING 9.2 LB/FT ALLOY 28 TSH BL</t>
        </is>
      </c>
      <c r="C537" s="1569" t="n">
        <v>31</v>
      </c>
      <c r="D537" s="1669">
        <f>C537</f>
        <v/>
      </c>
      <c r="E537" s="1571">
        <f>E536+D537</f>
        <v/>
      </c>
      <c r="F537" s="1571">
        <f>F536-D536</f>
        <v/>
      </c>
      <c r="G537" s="1572">
        <f>G536-D537</f>
        <v/>
      </c>
      <c r="H537" s="1670" t="n"/>
    </row>
    <row r="538" ht="26.25" customHeight="1" s="862">
      <c r="A538" s="1568" t="inlineStr">
        <is>
          <t>JT.#301</t>
        </is>
      </c>
      <c r="B538" s="1568" t="inlineStr">
        <is>
          <t>3-1/2" TUBING 9.2 LB/FT ALLOY 28 TSH BL</t>
        </is>
      </c>
      <c r="C538" s="1569" t="n">
        <v>31</v>
      </c>
      <c r="D538" s="1669">
        <f>C538</f>
        <v/>
      </c>
      <c r="E538" s="1571">
        <f>E537+D538</f>
        <v/>
      </c>
      <c r="F538" s="1571">
        <f>F537-D537</f>
        <v/>
      </c>
      <c r="G538" s="1572">
        <f>G537-D538</f>
        <v/>
      </c>
      <c r="H538" s="1670" t="n"/>
    </row>
    <row r="539" ht="26.25" customHeight="1" s="862">
      <c r="A539" s="1568" t="inlineStr">
        <is>
          <t>JT.#302</t>
        </is>
      </c>
      <c r="B539" s="1568" t="inlineStr">
        <is>
          <t>3-1/2" TUBING 9.2 LB/FT ALLOY 28 TSH BL</t>
        </is>
      </c>
      <c r="C539" s="1569" t="n">
        <v>31</v>
      </c>
      <c r="D539" s="1669">
        <f>C539</f>
        <v/>
      </c>
      <c r="E539" s="1571">
        <f>E538+D539</f>
        <v/>
      </c>
      <c r="F539" s="1571">
        <f>F538-D538</f>
        <v/>
      </c>
      <c r="G539" s="1572">
        <f>G538-D539</f>
        <v/>
      </c>
      <c r="H539" s="1670" t="n"/>
    </row>
    <row r="540" ht="26.25" customHeight="1" s="862">
      <c r="A540" s="1568" t="inlineStr">
        <is>
          <t>JT.#303</t>
        </is>
      </c>
      <c r="B540" s="1568" t="inlineStr">
        <is>
          <t>3-1/2" TUBING 9.2 LB/FT ALLOY 28 TSH BL</t>
        </is>
      </c>
      <c r="C540" s="1569" t="n">
        <v>31</v>
      </c>
      <c r="D540" s="1669">
        <f>C540</f>
        <v/>
      </c>
      <c r="E540" s="1571">
        <f>E539+D540</f>
        <v/>
      </c>
      <c r="F540" s="1571">
        <f>F539-D539</f>
        <v/>
      </c>
      <c r="G540" s="1572">
        <f>G539-D540</f>
        <v/>
      </c>
      <c r="H540" s="1670" t="n"/>
    </row>
    <row r="541" ht="26.25" customHeight="1" s="862">
      <c r="A541" s="1568" t="inlineStr">
        <is>
          <t>JT.#304</t>
        </is>
      </c>
      <c r="B541" s="1568" t="inlineStr">
        <is>
          <t>3-1/2" TUBING 9.2 LB/FT ALLOY 28 TSH BL</t>
        </is>
      </c>
      <c r="C541" s="1569" t="n">
        <v>31</v>
      </c>
      <c r="D541" s="1669">
        <f>C541</f>
        <v/>
      </c>
      <c r="E541" s="1571">
        <f>E540+D541</f>
        <v/>
      </c>
      <c r="F541" s="1571">
        <f>F540-D540</f>
        <v/>
      </c>
      <c r="G541" s="1572">
        <f>G540-D541</f>
        <v/>
      </c>
      <c r="H541" s="1670" t="n"/>
    </row>
    <row r="542" ht="26.25" customHeight="1" s="862">
      <c r="A542" s="1568" t="inlineStr">
        <is>
          <t>JT.#305</t>
        </is>
      </c>
      <c r="B542" s="1568" t="inlineStr">
        <is>
          <t>3-1/2" TUBING 9.2 LB/FT ALLOY 28 TSH BL</t>
        </is>
      </c>
      <c r="C542" s="1569" t="n">
        <v>31</v>
      </c>
      <c r="D542" s="1669">
        <f>C542</f>
        <v/>
      </c>
      <c r="E542" s="1571">
        <f>E541+D542</f>
        <v/>
      </c>
      <c r="F542" s="1571">
        <f>F541-D541</f>
        <v/>
      </c>
      <c r="G542" s="1572">
        <f>G541-D542</f>
        <v/>
      </c>
      <c r="H542" s="1670" t="n"/>
    </row>
    <row r="543" ht="26.25" customHeight="1" s="862">
      <c r="A543" s="1568" t="inlineStr">
        <is>
          <t>JT.#306</t>
        </is>
      </c>
      <c r="B543" s="1568" t="inlineStr">
        <is>
          <t>3-1/2" TUBING 9.2 LB/FT ALLOY 28 TSH BL</t>
        </is>
      </c>
      <c r="C543" s="1569" t="n">
        <v>31</v>
      </c>
      <c r="D543" s="1669">
        <f>C543</f>
        <v/>
      </c>
      <c r="E543" s="1571">
        <f>E542+D543</f>
        <v/>
      </c>
      <c r="F543" s="1571">
        <f>F542-D542</f>
        <v/>
      </c>
      <c r="G543" s="1572">
        <f>G542-D543</f>
        <v/>
      </c>
      <c r="H543" s="1670" t="n"/>
    </row>
    <row r="544" ht="26.25" customHeight="1" s="862">
      <c r="A544" s="1568" t="inlineStr">
        <is>
          <t>JT.#307</t>
        </is>
      </c>
      <c r="B544" s="1568" t="inlineStr">
        <is>
          <t>3-1/2" TUBING 9.2 LB/FT ALLOY 28 TSH BL</t>
        </is>
      </c>
      <c r="C544" s="1569" t="n">
        <v>31</v>
      </c>
      <c r="D544" s="1669">
        <f>C544</f>
        <v/>
      </c>
      <c r="E544" s="1571">
        <f>E543+D544</f>
        <v/>
      </c>
      <c r="F544" s="1571">
        <f>F543-D543</f>
        <v/>
      </c>
      <c r="G544" s="1572">
        <f>G543-D544</f>
        <v/>
      </c>
      <c r="H544" s="1670" t="n"/>
    </row>
    <row r="545" ht="26.25" customHeight="1" s="862">
      <c r="A545" s="1568" t="inlineStr">
        <is>
          <t>JT.#308</t>
        </is>
      </c>
      <c r="B545" s="1568" t="inlineStr">
        <is>
          <t>3-1/2" TUBING 9.2 LB/FT ALLOY 28 TSH BL</t>
        </is>
      </c>
      <c r="C545" s="1569" t="n">
        <v>31</v>
      </c>
      <c r="D545" s="1669">
        <f>C545</f>
        <v/>
      </c>
      <c r="E545" s="1571">
        <f>E544+D545</f>
        <v/>
      </c>
      <c r="F545" s="1571">
        <f>F544-D544</f>
        <v/>
      </c>
      <c r="G545" s="1572">
        <f>G544-D545</f>
        <v/>
      </c>
      <c r="H545" s="1670" t="n"/>
    </row>
    <row r="546" ht="26.25" customHeight="1" s="862">
      <c r="A546" s="1568" t="inlineStr">
        <is>
          <t>JT.#309</t>
        </is>
      </c>
      <c r="B546" s="1568" t="inlineStr">
        <is>
          <t>3-1/2" TUBING 9.2 LB/FT ALLOY 28 TSH BL</t>
        </is>
      </c>
      <c r="C546" s="1569" t="n">
        <v>31</v>
      </c>
      <c r="D546" s="1669">
        <f>C546</f>
        <v/>
      </c>
      <c r="E546" s="1571">
        <f>E545+D546</f>
        <v/>
      </c>
      <c r="F546" s="1571">
        <f>F545-D545</f>
        <v/>
      </c>
      <c r="G546" s="1572">
        <f>G545-D546</f>
        <v/>
      </c>
      <c r="H546" s="1670" t="n"/>
    </row>
    <row r="547" ht="26.25" customHeight="1" s="862">
      <c r="A547" s="1568" t="inlineStr">
        <is>
          <t>JT.#310</t>
        </is>
      </c>
      <c r="B547" s="1568" t="inlineStr">
        <is>
          <t>3-1/2" TUBING 9.2 LB/FT ALLOY 28 TSH BL</t>
        </is>
      </c>
      <c r="C547" s="1569" t="n">
        <v>31</v>
      </c>
      <c r="D547" s="1669">
        <f>C547</f>
        <v/>
      </c>
      <c r="E547" s="1571">
        <f>E546+D547</f>
        <v/>
      </c>
      <c r="F547" s="1571">
        <f>F546-D546</f>
        <v/>
      </c>
      <c r="G547" s="1572">
        <f>G546-D547</f>
        <v/>
      </c>
      <c r="H547" s="1670" t="n"/>
    </row>
    <row r="548" ht="26.25" customHeight="1" s="862">
      <c r="A548" s="1568" t="inlineStr">
        <is>
          <t>JT.#311</t>
        </is>
      </c>
      <c r="B548" s="1568" t="inlineStr">
        <is>
          <t>3-1/2" TUBING 9.2 LB/FT ALLOY 28 TSH BL</t>
        </is>
      </c>
      <c r="C548" s="1569" t="n">
        <v>31</v>
      </c>
      <c r="D548" s="1669">
        <f>C548</f>
        <v/>
      </c>
      <c r="E548" s="1571">
        <f>E547+D548</f>
        <v/>
      </c>
      <c r="F548" s="1571">
        <f>F547-D547</f>
        <v/>
      </c>
      <c r="G548" s="1572">
        <f>G547-D548</f>
        <v/>
      </c>
      <c r="H548" s="1670" t="n"/>
    </row>
    <row r="549" ht="26.25" customHeight="1" s="862">
      <c r="A549" s="1568" t="inlineStr">
        <is>
          <t>JT.#312</t>
        </is>
      </c>
      <c r="B549" s="1568" t="inlineStr">
        <is>
          <t>3-1/2" TUBING 9.2 LB/FT ALLOY 28 TSH BL</t>
        </is>
      </c>
      <c r="C549" s="1569" t="n">
        <v>31</v>
      </c>
      <c r="D549" s="1669">
        <f>C549</f>
        <v/>
      </c>
      <c r="E549" s="1571">
        <f>E548+D549</f>
        <v/>
      </c>
      <c r="F549" s="1571">
        <f>F548-D548</f>
        <v/>
      </c>
      <c r="G549" s="1572">
        <f>G548-D549</f>
        <v/>
      </c>
      <c r="H549" s="1670" t="n"/>
    </row>
    <row r="550" ht="26.25" customHeight="1" s="862">
      <c r="A550" s="1568" t="inlineStr">
        <is>
          <t>JT.#313</t>
        </is>
      </c>
      <c r="B550" s="1568" t="inlineStr">
        <is>
          <t>3-1/2" TUBING 9.2 LB/FT ALLOY 28 TSH BL</t>
        </is>
      </c>
      <c r="C550" s="1569" t="n">
        <v>31</v>
      </c>
      <c r="D550" s="1669">
        <f>C550</f>
        <v/>
      </c>
      <c r="E550" s="1571">
        <f>E549+D550</f>
        <v/>
      </c>
      <c r="F550" s="1571">
        <f>F549-D549</f>
        <v/>
      </c>
      <c r="G550" s="1572">
        <f>G549-D550</f>
        <v/>
      </c>
      <c r="H550" s="1670" t="n"/>
    </row>
    <row r="551" ht="26.25" customHeight="1" s="862">
      <c r="A551" s="1568" t="inlineStr">
        <is>
          <t>JT.#314</t>
        </is>
      </c>
      <c r="B551" s="1568" t="inlineStr">
        <is>
          <t>3-1/2" TUBING 9.2 LB/FT ALLOY 28 TSH BL</t>
        </is>
      </c>
      <c r="C551" s="1569" t="n">
        <v>31</v>
      </c>
      <c r="D551" s="1669">
        <f>C551</f>
        <v/>
      </c>
      <c r="E551" s="1571">
        <f>E550+D551</f>
        <v/>
      </c>
      <c r="F551" s="1571">
        <f>F550-D550</f>
        <v/>
      </c>
      <c r="G551" s="1572">
        <f>G550-D551</f>
        <v/>
      </c>
      <c r="H551" s="1670" t="n"/>
    </row>
    <row r="552" ht="26.25" customHeight="1" s="862">
      <c r="A552" s="1568" t="inlineStr">
        <is>
          <t>JT.#315</t>
        </is>
      </c>
      <c r="B552" s="1568" t="inlineStr">
        <is>
          <t>3-1/2" TUBING 9.2 LB/FT ALLOY 28 TSH BL</t>
        </is>
      </c>
      <c r="C552" s="1569" t="n">
        <v>31</v>
      </c>
      <c r="D552" s="1669">
        <f>C552</f>
        <v/>
      </c>
      <c r="E552" s="1571">
        <f>E551+D552</f>
        <v/>
      </c>
      <c r="F552" s="1571">
        <f>F551-D551</f>
        <v/>
      </c>
      <c r="G552" s="1572">
        <f>G551-D552</f>
        <v/>
      </c>
      <c r="H552" s="1670" t="n"/>
    </row>
    <row r="553" ht="26.25" customHeight="1" s="862">
      <c r="A553" s="1568" t="inlineStr">
        <is>
          <t>JT.#316</t>
        </is>
      </c>
      <c r="B553" s="1568" t="inlineStr">
        <is>
          <t>3-1/2" TUBING 9.2 LB/FT ALLOY 28 TSH BL</t>
        </is>
      </c>
      <c r="C553" s="1569" t="n">
        <v>31</v>
      </c>
      <c r="D553" s="1669">
        <f>C553</f>
        <v/>
      </c>
      <c r="E553" s="1571">
        <f>E552+D553</f>
        <v/>
      </c>
      <c r="F553" s="1571">
        <f>F552-D552</f>
        <v/>
      </c>
      <c r="G553" s="1572">
        <f>G552-D553</f>
        <v/>
      </c>
      <c r="H553" s="1670" t="n"/>
    </row>
    <row r="554" ht="26.25" customHeight="1" s="862">
      <c r="A554" s="1568" t="inlineStr">
        <is>
          <t>JT.#317</t>
        </is>
      </c>
      <c r="B554" s="1568" t="inlineStr">
        <is>
          <t>3-1/2" TUBING 9.2 LB/FT ALLOY 28 TSH BL</t>
        </is>
      </c>
      <c r="C554" s="1569" t="n">
        <v>31</v>
      </c>
      <c r="D554" s="1669">
        <f>C554</f>
        <v/>
      </c>
      <c r="E554" s="1571">
        <f>E553+D554</f>
        <v/>
      </c>
      <c r="F554" s="1571">
        <f>F553-D553</f>
        <v/>
      </c>
      <c r="G554" s="1572">
        <f>G553-D554</f>
        <v/>
      </c>
      <c r="H554" s="1670" t="n"/>
    </row>
    <row r="555" ht="26.25" customHeight="1" s="862">
      <c r="A555" s="1568" t="inlineStr">
        <is>
          <t>JT.#318</t>
        </is>
      </c>
      <c r="B555" s="1568" t="inlineStr">
        <is>
          <t>3-1/2" TUBING 9.2 LB/FT ALLOY 28 TSH BL</t>
        </is>
      </c>
      <c r="C555" s="1569" t="n">
        <v>31</v>
      </c>
      <c r="D555" s="1669">
        <f>C555</f>
        <v/>
      </c>
      <c r="E555" s="1571">
        <f>E554+D555</f>
        <v/>
      </c>
      <c r="F555" s="1571">
        <f>F554-D554</f>
        <v/>
      </c>
      <c r="G555" s="1572">
        <f>G554-D555</f>
        <v/>
      </c>
      <c r="H555" s="1670" t="n"/>
    </row>
    <row r="556" ht="26.25" customHeight="1" s="862">
      <c r="A556" s="1568" t="inlineStr">
        <is>
          <t>JT.#319</t>
        </is>
      </c>
      <c r="B556" s="1568" t="inlineStr">
        <is>
          <t>3-1/2" TUBING 9.2 LB/FT ALLOY 28 TSH BL</t>
        </is>
      </c>
      <c r="C556" s="1569" t="n">
        <v>31</v>
      </c>
      <c r="D556" s="1669">
        <f>C556</f>
        <v/>
      </c>
      <c r="E556" s="1571">
        <f>E555+D556</f>
        <v/>
      </c>
      <c r="F556" s="1571">
        <f>F555-D555</f>
        <v/>
      </c>
      <c r="G556" s="1572">
        <f>G555-D556</f>
        <v/>
      </c>
      <c r="H556" s="1670" t="n"/>
    </row>
    <row r="557" ht="26.25" customHeight="1" s="862">
      <c r="A557" s="1568" t="inlineStr">
        <is>
          <t>JT.#320</t>
        </is>
      </c>
      <c r="B557" s="1568" t="inlineStr">
        <is>
          <t>3-1/2" TUBING 9.2 LB/FT ALLOY 28 TSH BL</t>
        </is>
      </c>
      <c r="C557" s="1569" t="n">
        <v>31</v>
      </c>
      <c r="D557" s="1669">
        <f>C557</f>
        <v/>
      </c>
      <c r="E557" s="1571">
        <f>E556+D557</f>
        <v/>
      </c>
      <c r="F557" s="1571">
        <f>F556-D556</f>
        <v/>
      </c>
      <c r="G557" s="1572">
        <f>G556-D557</f>
        <v/>
      </c>
      <c r="H557" s="1670" t="n"/>
    </row>
    <row r="558" ht="26.25" customHeight="1" s="862">
      <c r="A558" s="1568" t="inlineStr">
        <is>
          <t>JT.#321</t>
        </is>
      </c>
      <c r="B558" s="1568" t="inlineStr">
        <is>
          <t>3-1/2" TUBING 9.2 LB/FT ALLOY 28 TSH BL</t>
        </is>
      </c>
      <c r="C558" s="1569" t="n">
        <v>31</v>
      </c>
      <c r="D558" s="1669">
        <f>C558</f>
        <v/>
      </c>
      <c r="E558" s="1571">
        <f>E557+D558</f>
        <v/>
      </c>
      <c r="F558" s="1571">
        <f>F557-D557</f>
        <v/>
      </c>
      <c r="G558" s="1572">
        <f>G557-D558</f>
        <v/>
      </c>
      <c r="H558" s="1670" t="n"/>
    </row>
    <row r="559" ht="26.25" customHeight="1" s="862">
      <c r="A559" s="1568" t="inlineStr">
        <is>
          <t>JT.#322</t>
        </is>
      </c>
      <c r="B559" s="1568" t="inlineStr">
        <is>
          <t>3-1/2" TUBING 9.2 LB/FT ALLOY 28 TSH BL</t>
        </is>
      </c>
      <c r="C559" s="1569" t="n">
        <v>31</v>
      </c>
      <c r="D559" s="1669">
        <f>C559</f>
        <v/>
      </c>
      <c r="E559" s="1571">
        <f>E558+D559</f>
        <v/>
      </c>
      <c r="F559" s="1571">
        <f>F558-D558</f>
        <v/>
      </c>
      <c r="G559" s="1572">
        <f>G558-D559</f>
        <v/>
      </c>
      <c r="H559" s="1670" t="n"/>
    </row>
    <row r="560" ht="26.25" customHeight="1" s="862">
      <c r="A560" s="1568" t="inlineStr">
        <is>
          <t>JT.#323</t>
        </is>
      </c>
      <c r="B560" s="1568" t="inlineStr">
        <is>
          <t>3-1/2" TUBING 9.2 LB/FT ALLOY 28 TSH BL</t>
        </is>
      </c>
      <c r="C560" s="1569" t="n">
        <v>31</v>
      </c>
      <c r="D560" s="1669">
        <f>C560</f>
        <v/>
      </c>
      <c r="E560" s="1571">
        <f>E559+D560</f>
        <v/>
      </c>
      <c r="F560" s="1571">
        <f>F559-D559</f>
        <v/>
      </c>
      <c r="G560" s="1572">
        <f>G559-D560</f>
        <v/>
      </c>
      <c r="H560" s="1670" t="n"/>
    </row>
    <row r="561" ht="26.25" customHeight="1" s="862">
      <c r="A561" s="1568" t="inlineStr">
        <is>
          <t>JT.#324</t>
        </is>
      </c>
      <c r="B561" s="1568" t="inlineStr">
        <is>
          <t>3-1/2" TUBING 9.2 LB/FT ALLOY 28 TSH BL</t>
        </is>
      </c>
      <c r="C561" s="1569" t="n">
        <v>31</v>
      </c>
      <c r="D561" s="1669">
        <f>C561</f>
        <v/>
      </c>
      <c r="E561" s="1571">
        <f>E560+D561</f>
        <v/>
      </c>
      <c r="F561" s="1571">
        <f>F560-D560</f>
        <v/>
      </c>
      <c r="G561" s="1572">
        <f>G560-D561</f>
        <v/>
      </c>
      <c r="H561" s="1670" t="n"/>
    </row>
    <row r="562" ht="26.25" customHeight="1" s="862">
      <c r="A562" s="1568" t="inlineStr">
        <is>
          <t>JT.#325</t>
        </is>
      </c>
      <c r="B562" s="1568" t="inlineStr">
        <is>
          <t>3-1/2" TUBING 9.2 LB/FT ALLOY 28 TSH BL</t>
        </is>
      </c>
      <c r="C562" s="1569" t="n">
        <v>31</v>
      </c>
      <c r="D562" s="1669">
        <f>C562</f>
        <v/>
      </c>
      <c r="E562" s="1571">
        <f>E561+D562</f>
        <v/>
      </c>
      <c r="F562" s="1571">
        <f>F561-D561</f>
        <v/>
      </c>
      <c r="G562" s="1572">
        <f>G561-D562</f>
        <v/>
      </c>
      <c r="H562" s="1670" t="n"/>
    </row>
    <row r="563" ht="26.25" customHeight="1" s="862">
      <c r="A563" s="1568" t="inlineStr">
        <is>
          <t>JT.#326</t>
        </is>
      </c>
      <c r="B563" s="1568" t="inlineStr">
        <is>
          <t>3-1/2" TUBING 9.2 LB/FT ALLOY 28 TSH BL</t>
        </is>
      </c>
      <c r="C563" s="1569" t="n">
        <v>31</v>
      </c>
      <c r="D563" s="1669">
        <f>C563</f>
        <v/>
      </c>
      <c r="E563" s="1571">
        <f>E562+D563</f>
        <v/>
      </c>
      <c r="F563" s="1571">
        <f>F562-D562</f>
        <v/>
      </c>
      <c r="G563" s="1572">
        <f>G562-D563</f>
        <v/>
      </c>
      <c r="H563" s="1670" t="n"/>
    </row>
    <row r="564" ht="26.25" customHeight="1" s="862">
      <c r="A564" s="1568" t="inlineStr">
        <is>
          <t>JT.#327</t>
        </is>
      </c>
      <c r="B564" s="1568" t="inlineStr">
        <is>
          <t>3-1/2" TUBING 9.2 LB/FT ALLOY 28 TSH BL</t>
        </is>
      </c>
      <c r="C564" s="1569" t="n">
        <v>31</v>
      </c>
      <c r="D564" s="1669">
        <f>C564</f>
        <v/>
      </c>
      <c r="E564" s="1571">
        <f>E563+D564</f>
        <v/>
      </c>
      <c r="F564" s="1571">
        <f>F563-D563</f>
        <v/>
      </c>
      <c r="G564" s="1572">
        <f>G563-D564</f>
        <v/>
      </c>
      <c r="H564" s="1670" t="n"/>
    </row>
    <row r="565" ht="26.25" customHeight="1" s="862">
      <c r="A565" s="1568" t="inlineStr">
        <is>
          <t>JT.#328</t>
        </is>
      </c>
      <c r="B565" s="1568" t="inlineStr">
        <is>
          <t>3-1/2" TUBING 9.2 LB/FT ALLOY 28 TSH BL</t>
        </is>
      </c>
      <c r="C565" s="1569" t="n">
        <v>31</v>
      </c>
      <c r="D565" s="1669">
        <f>C565</f>
        <v/>
      </c>
      <c r="E565" s="1571">
        <f>E564+D565</f>
        <v/>
      </c>
      <c r="F565" s="1571">
        <f>F564-D564</f>
        <v/>
      </c>
      <c r="G565" s="1572">
        <f>G564-D565</f>
        <v/>
      </c>
      <c r="H565" s="1670" t="n"/>
    </row>
    <row r="566" ht="26.25" customHeight="1" s="862">
      <c r="A566" s="1568" t="inlineStr">
        <is>
          <t>JT.#329</t>
        </is>
      </c>
      <c r="B566" s="1568" t="inlineStr">
        <is>
          <t>3-1/2" TUBING 9.2 LB/FT ALLOY 28 TSH BL</t>
        </is>
      </c>
      <c r="C566" s="1569" t="n">
        <v>31</v>
      </c>
      <c r="D566" s="1669">
        <f>C566</f>
        <v/>
      </c>
      <c r="E566" s="1571">
        <f>E565+D566</f>
        <v/>
      </c>
      <c r="F566" s="1571">
        <f>F565-D565</f>
        <v/>
      </c>
      <c r="G566" s="1572">
        <f>G565-D566</f>
        <v/>
      </c>
      <c r="H566" s="1670" t="n"/>
    </row>
    <row r="567" ht="26.25" customHeight="1" s="862">
      <c r="A567" s="1568" t="inlineStr">
        <is>
          <t>JT.#330</t>
        </is>
      </c>
      <c r="B567" s="1568" t="inlineStr">
        <is>
          <t>3-1/2" TUBING 9.2 LB/FT ALLOY 28 TSH BL</t>
        </is>
      </c>
      <c r="C567" s="1569" t="n">
        <v>31</v>
      </c>
      <c r="D567" s="1669">
        <f>C567</f>
        <v/>
      </c>
      <c r="E567" s="1571">
        <f>E566+D567</f>
        <v/>
      </c>
      <c r="F567" s="1571">
        <f>F566-D566</f>
        <v/>
      </c>
      <c r="G567" s="1572">
        <f>G566-D567</f>
        <v/>
      </c>
      <c r="H567" s="1670" t="n"/>
    </row>
    <row r="568" ht="26.25" customHeight="1" s="862">
      <c r="A568" s="1568" t="inlineStr">
        <is>
          <t>JT.#331</t>
        </is>
      </c>
      <c r="B568" s="1568" t="inlineStr">
        <is>
          <t>3-1/2" TUBING 9.2 LB/FT ALLOY 28 TSH BL</t>
        </is>
      </c>
      <c r="C568" s="1569" t="n">
        <v>31</v>
      </c>
      <c r="D568" s="1669">
        <f>C568</f>
        <v/>
      </c>
      <c r="E568" s="1571">
        <f>E567+D568</f>
        <v/>
      </c>
      <c r="F568" s="1571">
        <f>F567-D567</f>
        <v/>
      </c>
      <c r="G568" s="1572">
        <f>G567-D568</f>
        <v/>
      </c>
      <c r="H568" s="1670" t="n"/>
    </row>
    <row r="569" ht="26.25" customHeight="1" s="862">
      <c r="A569" s="1568" t="inlineStr">
        <is>
          <t>JT.#332</t>
        </is>
      </c>
      <c r="B569" s="1568" t="inlineStr">
        <is>
          <t>3-1/2" TUBING 9.2 LB/FT ALLOY 28 TSH BL</t>
        </is>
      </c>
      <c r="C569" s="1569" t="n">
        <v>31</v>
      </c>
      <c r="D569" s="1669">
        <f>C569</f>
        <v/>
      </c>
      <c r="E569" s="1571">
        <f>E568+D569</f>
        <v/>
      </c>
      <c r="F569" s="1571">
        <f>F568-D568</f>
        <v/>
      </c>
      <c r="G569" s="1572">
        <f>G568-D569</f>
        <v/>
      </c>
      <c r="H569" s="1670" t="n"/>
    </row>
    <row r="570" ht="26.25" customHeight="1" s="862">
      <c r="A570" s="1568" t="inlineStr">
        <is>
          <t>JT.#333</t>
        </is>
      </c>
      <c r="B570" s="1568" t="inlineStr">
        <is>
          <t>3-1/2" TUBING 9.2 LB/FT ALLOY 28 TSH BL</t>
        </is>
      </c>
      <c r="C570" s="1569" t="n">
        <v>31</v>
      </c>
      <c r="D570" s="1669">
        <f>C570</f>
        <v/>
      </c>
      <c r="E570" s="1571">
        <f>E569+D570</f>
        <v/>
      </c>
      <c r="F570" s="1571">
        <f>F569-D569</f>
        <v/>
      </c>
      <c r="G570" s="1572">
        <f>G569-D570</f>
        <v/>
      </c>
      <c r="H570" s="1670" t="n"/>
    </row>
    <row r="571" ht="26.25" customHeight="1" s="862">
      <c r="A571" s="1568" t="inlineStr">
        <is>
          <t>JT.#334</t>
        </is>
      </c>
      <c r="B571" s="1568" t="inlineStr">
        <is>
          <t>3-1/2" TUBING 9.2 LB/FT ALLOY 28 TSH BL</t>
        </is>
      </c>
      <c r="C571" s="1569" t="n">
        <v>31</v>
      </c>
      <c r="D571" s="1669">
        <f>C571</f>
        <v/>
      </c>
      <c r="E571" s="1571">
        <f>E570+D571</f>
        <v/>
      </c>
      <c r="F571" s="1571">
        <f>F570-D570</f>
        <v/>
      </c>
      <c r="G571" s="1572">
        <f>G570-D571</f>
        <v/>
      </c>
      <c r="H571" s="1670" t="n"/>
    </row>
    <row r="572" ht="26.25" customHeight="1" s="862">
      <c r="A572" s="1568" t="inlineStr">
        <is>
          <t>JT.#335</t>
        </is>
      </c>
      <c r="B572" s="1568" t="inlineStr">
        <is>
          <t>3-1/2" TUBING 9.2 LB/FT ALLOY 28 TSH BL</t>
        </is>
      </c>
      <c r="C572" s="1569" t="n">
        <v>31</v>
      </c>
      <c r="D572" s="1669">
        <f>C572</f>
        <v/>
      </c>
      <c r="E572" s="1571">
        <f>E571+D572</f>
        <v/>
      </c>
      <c r="F572" s="1571">
        <f>F571-D571</f>
        <v/>
      </c>
      <c r="G572" s="1572">
        <f>G571-D572</f>
        <v/>
      </c>
      <c r="H572" s="1670" t="n"/>
    </row>
    <row r="573" ht="26.25" customHeight="1" s="862">
      <c r="A573" s="1568" t="inlineStr">
        <is>
          <t>JT.#336</t>
        </is>
      </c>
      <c r="B573" s="1568" t="inlineStr">
        <is>
          <t>3-1/2" TUBING 9.2 LB/FT ALLOY 28 TSH BL</t>
        </is>
      </c>
      <c r="C573" s="1569" t="n">
        <v>31</v>
      </c>
      <c r="D573" s="1669">
        <f>C573</f>
        <v/>
      </c>
      <c r="E573" s="1571">
        <f>E572+D573</f>
        <v/>
      </c>
      <c r="F573" s="1571">
        <f>F572-D572</f>
        <v/>
      </c>
      <c r="G573" s="1572">
        <f>G572-D573</f>
        <v/>
      </c>
      <c r="H573" s="1670" t="n"/>
    </row>
    <row r="574" ht="26.25" customHeight="1" s="862">
      <c r="A574" s="1568" t="inlineStr">
        <is>
          <t>JT.#337</t>
        </is>
      </c>
      <c r="B574" s="1568" t="inlineStr">
        <is>
          <t>3-1/2" TUBING 9.2 LB/FT ALLOY 28 TSH BL</t>
        </is>
      </c>
      <c r="C574" s="1569" t="n">
        <v>31</v>
      </c>
      <c r="D574" s="1669">
        <f>C574</f>
        <v/>
      </c>
      <c r="E574" s="1571">
        <f>E573+D574</f>
        <v/>
      </c>
      <c r="F574" s="1571">
        <f>F573-D573</f>
        <v/>
      </c>
      <c r="G574" s="1572">
        <f>G573-D574</f>
        <v/>
      </c>
      <c r="H574" s="1670" t="n"/>
    </row>
    <row r="575" ht="26.25" customHeight="1" s="862">
      <c r="A575" s="1568" t="inlineStr">
        <is>
          <t>JT.#338</t>
        </is>
      </c>
      <c r="B575" s="1568" t="inlineStr">
        <is>
          <t>3-1/2" TUBING 9.2 LB/FT ALLOY 28 TSH BL</t>
        </is>
      </c>
      <c r="C575" s="1569" t="n">
        <v>31</v>
      </c>
      <c r="D575" s="1669">
        <f>C575</f>
        <v/>
      </c>
      <c r="E575" s="1571">
        <f>E574+D575</f>
        <v/>
      </c>
      <c r="F575" s="1571">
        <f>F574-D574</f>
        <v/>
      </c>
      <c r="G575" s="1572">
        <f>G574-D575</f>
        <v/>
      </c>
      <c r="H575" s="1670" t="n"/>
    </row>
    <row r="576" ht="26.25" customHeight="1" s="862">
      <c r="A576" s="1568" t="inlineStr">
        <is>
          <t>JT.#339</t>
        </is>
      </c>
      <c r="B576" s="1568" t="inlineStr">
        <is>
          <t>3-1/2" TUBING 9.2 LB/FT ALLOY 28 TSH BL</t>
        </is>
      </c>
      <c r="C576" s="1569" t="n">
        <v>31</v>
      </c>
      <c r="D576" s="1669">
        <f>C576</f>
        <v/>
      </c>
      <c r="E576" s="1571">
        <f>E575+D576</f>
        <v/>
      </c>
      <c r="F576" s="1571">
        <f>F575-D575</f>
        <v/>
      </c>
      <c r="G576" s="1572">
        <f>G575-D576</f>
        <v/>
      </c>
      <c r="H576" s="1670" t="n"/>
    </row>
    <row r="577" ht="26.25" customHeight="1" s="862">
      <c r="A577" s="1568" t="inlineStr">
        <is>
          <t>JT.#340</t>
        </is>
      </c>
      <c r="B577" s="1568" t="inlineStr">
        <is>
          <t>3-1/2" TUBING 9.2 LB/FT ALLOY 28 TSH BL</t>
        </is>
      </c>
      <c r="C577" s="1569" t="n">
        <v>31</v>
      </c>
      <c r="D577" s="1669">
        <f>C577</f>
        <v/>
      </c>
      <c r="E577" s="1571">
        <f>E576+D577</f>
        <v/>
      </c>
      <c r="F577" s="1571">
        <f>F576-D576</f>
        <v/>
      </c>
      <c r="G577" s="1572">
        <f>G576-D577</f>
        <v/>
      </c>
      <c r="H577" s="1670" t="n"/>
    </row>
    <row r="578" ht="26.25" customHeight="1" s="862">
      <c r="A578" s="1568" t="inlineStr">
        <is>
          <t>JT.#341</t>
        </is>
      </c>
      <c r="B578" s="1568" t="inlineStr">
        <is>
          <t>3-1/2" TUBING 9.2 LB/FT ALLOY 28 TSH BL</t>
        </is>
      </c>
      <c r="C578" s="1569" t="n">
        <v>31</v>
      </c>
      <c r="D578" s="1669">
        <f>C578</f>
        <v/>
      </c>
      <c r="E578" s="1571">
        <f>E577+D578</f>
        <v/>
      </c>
      <c r="F578" s="1571">
        <f>F577-D577</f>
        <v/>
      </c>
      <c r="G578" s="1572">
        <f>G577-D578</f>
        <v/>
      </c>
      <c r="H578" s="1670" t="n"/>
    </row>
    <row r="579" ht="26.25" customHeight="1" s="862">
      <c r="A579" s="1568" t="inlineStr">
        <is>
          <t>JT.#342</t>
        </is>
      </c>
      <c r="B579" s="1568" t="inlineStr">
        <is>
          <t>3-1/2" TUBING 9.2 LB/FT ALLOY 28 TSH BL</t>
        </is>
      </c>
      <c r="C579" s="1569" t="n">
        <v>31</v>
      </c>
      <c r="D579" s="1669">
        <f>C579</f>
        <v/>
      </c>
      <c r="E579" s="1571">
        <f>E578+D579</f>
        <v/>
      </c>
      <c r="F579" s="1571">
        <f>F578-D578</f>
        <v/>
      </c>
      <c r="G579" s="1572">
        <f>G578-D579</f>
        <v/>
      </c>
      <c r="H579" s="1670" t="n"/>
    </row>
    <row r="580" ht="26.25" customHeight="1" s="862">
      <c r="A580" s="1568" t="inlineStr">
        <is>
          <t>JT.#343</t>
        </is>
      </c>
      <c r="B580" s="1568" t="inlineStr">
        <is>
          <t>3-1/2" TUBING 9.2 LB/FT ALLOY 28 TSH BL</t>
        </is>
      </c>
      <c r="C580" s="1569" t="n">
        <v>31</v>
      </c>
      <c r="D580" s="1669">
        <f>C580</f>
        <v/>
      </c>
      <c r="E580" s="1571">
        <f>E579+D580</f>
        <v/>
      </c>
      <c r="F580" s="1571">
        <f>F579-D579</f>
        <v/>
      </c>
      <c r="G580" s="1572">
        <f>G579-D580</f>
        <v/>
      </c>
      <c r="H580" s="1670" t="n"/>
    </row>
    <row r="581" ht="26.25" customHeight="1" s="862">
      <c r="A581" s="1568" t="inlineStr">
        <is>
          <t>JT.#344</t>
        </is>
      </c>
      <c r="B581" s="1568" t="inlineStr">
        <is>
          <t>3-1/2" TUBING 9.2 LB/FT ALLOY 28 TSH BL</t>
        </is>
      </c>
      <c r="C581" s="1569" t="n">
        <v>31</v>
      </c>
      <c r="D581" s="1669">
        <f>C581</f>
        <v/>
      </c>
      <c r="E581" s="1571">
        <f>E580+D581</f>
        <v/>
      </c>
      <c r="F581" s="1571">
        <f>F580-D580</f>
        <v/>
      </c>
      <c r="G581" s="1572">
        <f>G580-D581</f>
        <v/>
      </c>
      <c r="H581" s="1670" t="n"/>
    </row>
    <row r="582" ht="26.25" customHeight="1" s="862">
      <c r="A582" s="1568" t="inlineStr">
        <is>
          <t>JT.#345</t>
        </is>
      </c>
      <c r="B582" s="1568" t="inlineStr">
        <is>
          <t>3-1/2" TUBING 9.2 LB/FT ALLOY 28 TSH BL</t>
        </is>
      </c>
      <c r="C582" s="1569" t="n">
        <v>31</v>
      </c>
      <c r="D582" s="1669">
        <f>C582</f>
        <v/>
      </c>
      <c r="E582" s="1571">
        <f>E581+D582</f>
        <v/>
      </c>
      <c r="F582" s="1571">
        <f>F581-D581</f>
        <v/>
      </c>
      <c r="G582" s="1572">
        <f>G581-D582</f>
        <v/>
      </c>
      <c r="H582" s="1670" t="n"/>
    </row>
    <row r="583" ht="26.25" customHeight="1" s="862">
      <c r="A583" s="1568" t="inlineStr">
        <is>
          <t>JT.#346</t>
        </is>
      </c>
      <c r="B583" s="1568" t="inlineStr">
        <is>
          <t>3-1/2" TUBING 9.2 LB/FT ALLOY 28 TSH BL</t>
        </is>
      </c>
      <c r="C583" s="1569" t="n">
        <v>31</v>
      </c>
      <c r="D583" s="1669">
        <f>C583</f>
        <v/>
      </c>
      <c r="E583" s="1571">
        <f>E582+D583</f>
        <v/>
      </c>
      <c r="F583" s="1571">
        <f>F582-D582</f>
        <v/>
      </c>
      <c r="G583" s="1572">
        <f>G582-D583</f>
        <v/>
      </c>
      <c r="H583" s="1670" t="n"/>
    </row>
    <row r="584" ht="26.25" customHeight="1" s="862">
      <c r="A584" s="1568" t="inlineStr">
        <is>
          <t>JT.#347</t>
        </is>
      </c>
      <c r="B584" s="1568" t="inlineStr">
        <is>
          <t>3-1/2" TUBING 9.2 LB/FT ALLOY 28 TSH BL</t>
        </is>
      </c>
      <c r="C584" s="1569" t="n">
        <v>31</v>
      </c>
      <c r="D584" s="1669">
        <f>C584</f>
        <v/>
      </c>
      <c r="E584" s="1571">
        <f>E583+D584</f>
        <v/>
      </c>
      <c r="F584" s="1571">
        <f>F583-D583</f>
        <v/>
      </c>
      <c r="G584" s="1572">
        <f>G583-D584</f>
        <v/>
      </c>
      <c r="H584" s="1670" t="n"/>
    </row>
    <row r="585" ht="26.25" customHeight="1" s="862">
      <c r="A585" s="1568" t="inlineStr">
        <is>
          <t>JT.#348</t>
        </is>
      </c>
      <c r="B585" s="1568" t="inlineStr">
        <is>
          <t>3-1/2" TUBING 9.2 LB/FT ALLOY 28 TSH BL</t>
        </is>
      </c>
      <c r="C585" s="1569" t="n">
        <v>31</v>
      </c>
      <c r="D585" s="1669">
        <f>C585</f>
        <v/>
      </c>
      <c r="E585" s="1571">
        <f>E584+D585</f>
        <v/>
      </c>
      <c r="F585" s="1571">
        <f>F584-D584</f>
        <v/>
      </c>
      <c r="G585" s="1572">
        <f>G584-D585</f>
        <v/>
      </c>
      <c r="H585" s="1670" t="n"/>
    </row>
    <row r="586" ht="26.25" customHeight="1" s="862">
      <c r="A586" s="1568" t="inlineStr">
        <is>
          <t>JT.#349</t>
        </is>
      </c>
      <c r="B586" s="1568" t="inlineStr">
        <is>
          <t>3-1/2" TUBING 9.2 LB/FT ALLOY 28 TSH BL</t>
        </is>
      </c>
      <c r="C586" s="1569" t="n">
        <v>31</v>
      </c>
      <c r="D586" s="1669">
        <f>C586</f>
        <v/>
      </c>
      <c r="E586" s="1571">
        <f>E585+D586</f>
        <v/>
      </c>
      <c r="F586" s="1571">
        <f>F585-D585</f>
        <v/>
      </c>
      <c r="G586" s="1572">
        <f>G585-D586</f>
        <v/>
      </c>
      <c r="H586" s="1670" t="n"/>
    </row>
    <row r="587" ht="26.25" customHeight="1" s="862">
      <c r="A587" s="1568" t="inlineStr">
        <is>
          <t>JT.#350</t>
        </is>
      </c>
      <c r="B587" s="1568" t="inlineStr">
        <is>
          <t>3-1/2" TUBING 9.2 LB/FT ALLOY 28 TSH BL</t>
        </is>
      </c>
      <c r="C587" s="1569" t="n">
        <v>31</v>
      </c>
      <c r="D587" s="1669">
        <f>C587</f>
        <v/>
      </c>
      <c r="E587" s="1571">
        <f>E586+D587</f>
        <v/>
      </c>
      <c r="F587" s="1571">
        <f>F586-D586</f>
        <v/>
      </c>
      <c r="G587" s="1572">
        <f>G586-D587</f>
        <v/>
      </c>
      <c r="H587" s="1670" t="n"/>
    </row>
    <row r="588" ht="26.25" customHeight="1" s="862">
      <c r="A588" s="1568" t="inlineStr">
        <is>
          <t>JT.#351</t>
        </is>
      </c>
      <c r="B588" s="1568" t="inlineStr">
        <is>
          <t>3-1/2" TUBING 9.2 LB/FT ALLOY 28 TSH BL</t>
        </is>
      </c>
      <c r="C588" s="1569" t="n">
        <v>31</v>
      </c>
      <c r="D588" s="1669">
        <f>C588</f>
        <v/>
      </c>
      <c r="E588" s="1571">
        <f>E587+D588</f>
        <v/>
      </c>
      <c r="F588" s="1571">
        <f>F587-D587</f>
        <v/>
      </c>
      <c r="G588" s="1572">
        <f>G587-D588</f>
        <v/>
      </c>
      <c r="H588" s="1670" t="n"/>
    </row>
    <row r="589" ht="26.25" customHeight="1" s="862">
      <c r="A589" s="1568" t="inlineStr">
        <is>
          <t>JT.#352</t>
        </is>
      </c>
      <c r="B589" s="1568" t="inlineStr">
        <is>
          <t>3-1/2" TUBING 9.2 LB/FT ALLOY 28 TSH BL</t>
        </is>
      </c>
      <c r="C589" s="1569" t="n">
        <v>31</v>
      </c>
      <c r="D589" s="1669">
        <f>C589</f>
        <v/>
      </c>
      <c r="E589" s="1571">
        <f>E588+D589</f>
        <v/>
      </c>
      <c r="F589" s="1571">
        <f>F588-D588</f>
        <v/>
      </c>
      <c r="G589" s="1572">
        <f>G588-D589</f>
        <v/>
      </c>
      <c r="H589" s="1670" t="n"/>
    </row>
    <row r="590" ht="26.25" customHeight="1" s="862">
      <c r="A590" s="1568" t="inlineStr">
        <is>
          <t>JT.#353</t>
        </is>
      </c>
      <c r="B590" s="1568" t="inlineStr">
        <is>
          <t>3-1/2" TUBING 9.2 LB/FT ALLOY 28 TSH BL</t>
        </is>
      </c>
      <c r="C590" s="1569" t="n">
        <v>31</v>
      </c>
      <c r="D590" s="1669">
        <f>C590</f>
        <v/>
      </c>
      <c r="E590" s="1571">
        <f>E589+D590</f>
        <v/>
      </c>
      <c r="F590" s="1571">
        <f>F589-D589</f>
        <v/>
      </c>
      <c r="G590" s="1572">
        <f>G589-D590</f>
        <v/>
      </c>
      <c r="H590" s="1670" t="n"/>
    </row>
    <row r="591" ht="26.25" customHeight="1" s="862">
      <c r="A591" s="1568" t="inlineStr">
        <is>
          <t>JT.#354</t>
        </is>
      </c>
      <c r="B591" s="1568" t="inlineStr">
        <is>
          <t>3-1/2" TUBING 9.2 LB/FT ALLOY 28 TSH BL</t>
        </is>
      </c>
      <c r="C591" s="1569" t="n">
        <v>31</v>
      </c>
      <c r="D591" s="1669">
        <f>C591</f>
        <v/>
      </c>
      <c r="E591" s="1571">
        <f>E590+D591</f>
        <v/>
      </c>
      <c r="F591" s="1571">
        <f>F590-D590</f>
        <v/>
      </c>
      <c r="G591" s="1572">
        <f>G590-D591</f>
        <v/>
      </c>
      <c r="H591" s="1670" t="n"/>
    </row>
    <row r="592" ht="26.25" customHeight="1" s="862">
      <c r="A592" s="1568" t="inlineStr">
        <is>
          <t>JT.#355</t>
        </is>
      </c>
      <c r="B592" s="1568" t="inlineStr">
        <is>
          <t>3-1/2" TUBING 9.2 LB/FT ALLOY 28 TSH BL</t>
        </is>
      </c>
      <c r="C592" s="1569" t="n">
        <v>31</v>
      </c>
      <c r="D592" s="1669">
        <f>C592</f>
        <v/>
      </c>
      <c r="E592" s="1571">
        <f>E591+D592</f>
        <v/>
      </c>
      <c r="F592" s="1571">
        <f>F591-D591</f>
        <v/>
      </c>
      <c r="G592" s="1572">
        <f>G591-D592</f>
        <v/>
      </c>
      <c r="H592" s="1670" t="n"/>
    </row>
    <row r="593" ht="26.25" customHeight="1" s="862">
      <c r="A593" s="1568" t="inlineStr">
        <is>
          <t>JT.#356</t>
        </is>
      </c>
      <c r="B593" s="1568" t="inlineStr">
        <is>
          <t>3-1/2" TUBING 9.2 LB/FT ALLOY 28 TSH BL</t>
        </is>
      </c>
      <c r="C593" s="1569" t="n">
        <v>31</v>
      </c>
      <c r="D593" s="1669">
        <f>C593</f>
        <v/>
      </c>
      <c r="E593" s="1571">
        <f>E592+D593</f>
        <v/>
      </c>
      <c r="F593" s="1571">
        <f>F592-D592</f>
        <v/>
      </c>
      <c r="G593" s="1572">
        <f>G592-D593</f>
        <v/>
      </c>
      <c r="H593" s="1670" t="n"/>
    </row>
    <row r="594" ht="26.25" customHeight="1" s="862">
      <c r="A594" s="1568" t="inlineStr">
        <is>
          <t>JT.#357</t>
        </is>
      </c>
      <c r="B594" s="1568" t="inlineStr">
        <is>
          <t>3-1/2" TUBING 9.2 LB/FT ALLOY 28 TSH BL</t>
        </is>
      </c>
      <c r="C594" s="1569" t="n">
        <v>31</v>
      </c>
      <c r="D594" s="1669">
        <f>C594</f>
        <v/>
      </c>
      <c r="E594" s="1571">
        <f>E593+D594</f>
        <v/>
      </c>
      <c r="F594" s="1571">
        <f>F593-D593</f>
        <v/>
      </c>
      <c r="G594" s="1572">
        <f>G593-D594</f>
        <v/>
      </c>
      <c r="H594" s="1670" t="n"/>
    </row>
    <row r="595" ht="26.25" customHeight="1" s="862">
      <c r="A595" s="1568" t="inlineStr">
        <is>
          <t>JT.#358</t>
        </is>
      </c>
      <c r="B595" s="1568" t="inlineStr">
        <is>
          <t>3-1/2" TUBING 9.2 LB/FT ALLOY 28 TSH BL</t>
        </is>
      </c>
      <c r="C595" s="1569" t="n">
        <v>31</v>
      </c>
      <c r="D595" s="1669">
        <f>C595</f>
        <v/>
      </c>
      <c r="E595" s="1571">
        <f>E594+D595</f>
        <v/>
      </c>
      <c r="F595" s="1571">
        <f>F594-D594</f>
        <v/>
      </c>
      <c r="G595" s="1572">
        <f>G594-D595</f>
        <v/>
      </c>
      <c r="H595" s="1670" t="n"/>
    </row>
    <row r="596" ht="26.25" customHeight="1" s="862">
      <c r="A596" s="1568" t="inlineStr">
        <is>
          <t>JT.#359</t>
        </is>
      </c>
      <c r="B596" s="1568" t="inlineStr">
        <is>
          <t>3-1/2" TUBING 9.2 LB/FT ALLOY 28 TSH BL</t>
        </is>
      </c>
      <c r="C596" s="1569" t="n">
        <v>31</v>
      </c>
      <c r="D596" s="1669">
        <f>C596</f>
        <v/>
      </c>
      <c r="E596" s="1571">
        <f>E595+D596</f>
        <v/>
      </c>
      <c r="F596" s="1571">
        <f>F595-D595</f>
        <v/>
      </c>
      <c r="G596" s="1572">
        <f>G595-D596</f>
        <v/>
      </c>
      <c r="H596" s="1670" t="n"/>
    </row>
    <row r="597" ht="75.75" customHeight="1" s="862">
      <c r="A597" s="1680" t="inlineStr">
        <is>
          <t>F</t>
        </is>
      </c>
      <c r="B597" s="1681" t="inlineStr">
        <is>
          <t>UPPER CONN. 3-1/2" VAM TOP BOX 9.2 PPF SN 28 110 KSI
DESCRIPTION: 5 FEET XOVER
SAP: 130005011340
SUPPLIER: TENARIS
UPPER CONN. 3-1/2" TSH BLUE PIN 9.2 PPF SN 28 110 KSI</t>
        </is>
      </c>
      <c r="C597" s="1682" t="n">
        <v>5.02</v>
      </c>
      <c r="D597" s="1669">
        <f>C597</f>
        <v/>
      </c>
      <c r="E597" s="1571">
        <f>E596+D597</f>
        <v/>
      </c>
      <c r="F597" s="1571">
        <f>F596-D596</f>
        <v/>
      </c>
      <c r="G597" s="1572">
        <f>G596-D597</f>
        <v/>
      </c>
      <c r="H597" s="1670" t="n"/>
    </row>
    <row r="598" ht="105.75" customHeight="1" s="862">
      <c r="A598" s="1582" t="n"/>
      <c r="B598" s="1681" t="inlineStr">
        <is>
          <t>UPPER CONN. 3-1/2" VAM TOP 9.2#PPF INCOLOY 925 BOX
DESCRIPTION: FLOW COUPLING
PN: 2996124
S/N: 130777-04-001
SAP: 130010035671
S UPPLIER: WEATHERFORD
LOWER CONN. 3-1/2" VAM TOP 9.2#PPF</t>
        </is>
      </c>
      <c r="C598" s="1682" t="n">
        <v>5.75</v>
      </c>
      <c r="D598" s="1669">
        <f>C598</f>
        <v/>
      </c>
      <c r="E598" s="1571">
        <f>E597+D598</f>
        <v/>
      </c>
      <c r="F598" s="1571">
        <f>F597-D597</f>
        <v/>
      </c>
      <c r="G598" s="1572">
        <f>G597-D598</f>
        <v/>
      </c>
      <c r="H598" s="1670" t="n"/>
    </row>
    <row r="599" ht="150" customHeight="1" s="862">
      <c r="A599" s="1582" t="n"/>
      <c r="B599" s="1681" t="inlineStr">
        <is>
          <t>UPPER CONN. 3-1/2" VAM TOP 9.2#PPF
INCOLOY 925
BOX
DESCRIPTION: WEATHERFORD ASSY, TRSV,3.5WZPE-10
2.813WOR,2kSD,9.2# VAM TOP, WN302
PN: 2980845
S/N: 12777594-01
SAP: 130010038007
SUPPLIER: WEATHERFORD
LOWER CONN. 3-1/2" VAM TOP 9.2#PPF</t>
        </is>
      </c>
      <c r="C599" s="1682" t="n">
        <v>4.44</v>
      </c>
      <c r="D599" s="1669">
        <f>C599</f>
        <v/>
      </c>
      <c r="E599" s="1571">
        <f>E598+D599</f>
        <v/>
      </c>
      <c r="F599" s="1571">
        <f>F598-D598</f>
        <v/>
      </c>
      <c r="G599" s="1572">
        <f>G598-D599</f>
        <v/>
      </c>
      <c r="H599" s="1670" t="n"/>
    </row>
    <row r="600" ht="135.75" customHeight="1" s="862">
      <c r="A600" s="1582" t="n"/>
      <c r="B600" s="1681" t="inlineStr">
        <is>
          <t>UPPER CONN. 3-1/2" VAM TOP 9.2#PPF
INCOLOY 925
BOX
DESCRIPTION: FLOW COUPLING
P/N: 2996124
S/N: 130777-02-002
SAP: 130010035671
SUPPLIER: WEATHERFORD
LOWER CONN. 3-1/2" VAM TOP 9.2#PPF</t>
        </is>
      </c>
      <c r="C600" s="1682" t="n">
        <v>5.75</v>
      </c>
      <c r="D600" s="1669">
        <f>C600</f>
        <v/>
      </c>
      <c r="E600" s="1571">
        <f>E599+D600</f>
        <v/>
      </c>
      <c r="F600" s="1571">
        <f>F599-D599</f>
        <v/>
      </c>
      <c r="G600" s="1572">
        <f>G599-D600</f>
        <v/>
      </c>
      <c r="H600" s="1670" t="n"/>
    </row>
    <row r="601" ht="75.75" customHeight="1" s="862">
      <c r="A601" s="1148" t="n"/>
      <c r="B601" s="1681" t="inlineStr">
        <is>
          <t>UPPER CONN. 3-1/2" TSH BLUE BOX 9.2 PPF SN 28 110 KSI
DESCRIPTION: 10 FEET XOVER
SAP: 130005012487
SUPPLIER: TENARIS
LOWER CONN. 3-1/2" VAM TOP PIN 9.2 PPF SN 28 110 KSI</t>
        </is>
      </c>
      <c r="C601" s="1682" t="n">
        <v>9.93</v>
      </c>
      <c r="D601" s="1669">
        <f>C601</f>
        <v/>
      </c>
      <c r="E601" s="1571">
        <f>E600+D601</f>
        <v/>
      </c>
      <c r="F601" s="1571">
        <f>F600-D600</f>
        <v/>
      </c>
      <c r="G601" s="1572">
        <f>G600-D601</f>
        <v/>
      </c>
      <c r="H601" s="1670" t="n"/>
    </row>
    <row r="602" ht="26.25" customHeight="1" s="862">
      <c r="A602" s="1568" t="inlineStr">
        <is>
          <t>JT.#360</t>
        </is>
      </c>
      <c r="B602" s="1568" t="inlineStr">
        <is>
          <t>3-1/2" TUBING 9.2 LB/FT ALLOY 28 TSH BL</t>
        </is>
      </c>
      <c r="C602" s="1569" t="n">
        <v>31</v>
      </c>
      <c r="D602" s="1669">
        <f>C602</f>
        <v/>
      </c>
      <c r="E602" s="1571">
        <f>E601+D602</f>
        <v/>
      </c>
      <c r="F602" s="1571">
        <f>F601-D601</f>
        <v/>
      </c>
      <c r="G602" s="1572">
        <f>G601-D602</f>
        <v/>
      </c>
      <c r="H602" s="1670" t="n"/>
    </row>
    <row r="603" ht="26.25" customHeight="1" s="862">
      <c r="A603" s="1568" t="inlineStr">
        <is>
          <t>JT.#361</t>
        </is>
      </c>
      <c r="B603" s="1568" t="inlineStr">
        <is>
          <t>3-1/2" TUBING 9.2 LB/FT ALLOY 28 TSH BL</t>
        </is>
      </c>
      <c r="C603" s="1569" t="n">
        <v>31</v>
      </c>
      <c r="D603" s="1669">
        <f>C603</f>
        <v/>
      </c>
      <c r="E603" s="1571">
        <f>E602+D603</f>
        <v/>
      </c>
      <c r="F603" s="1571">
        <f>F602-D602</f>
        <v/>
      </c>
      <c r="G603" s="1572">
        <f>G602-D603</f>
        <v/>
      </c>
      <c r="H603" s="1670" t="n"/>
    </row>
    <row r="604" ht="26.25" customHeight="1" s="862">
      <c r="A604" s="1568" t="inlineStr">
        <is>
          <t>JT.#362</t>
        </is>
      </c>
      <c r="B604" s="1568" t="inlineStr">
        <is>
          <t>3-1/2" TUBING 9.2 LB/FT ALLOY 28 TSH BL</t>
        </is>
      </c>
      <c r="C604" s="1569" t="n">
        <v>31</v>
      </c>
      <c r="D604" s="1669">
        <f>C604</f>
        <v/>
      </c>
      <c r="E604" s="1571">
        <f>E603+D604</f>
        <v/>
      </c>
      <c r="F604" s="1571">
        <f>F603-D603</f>
        <v/>
      </c>
      <c r="G604" s="1572">
        <f>G603-D604</f>
        <v/>
      </c>
      <c r="H604" s="1670" t="n"/>
    </row>
    <row r="605" ht="26.25" customHeight="1" s="862">
      <c r="A605" s="1568" t="inlineStr">
        <is>
          <t>JT.#363</t>
        </is>
      </c>
      <c r="B605" s="1568" t="inlineStr">
        <is>
          <t>3-1/2" TUBING 9.2 LB/FT ALLOY 28 TSH BL</t>
        </is>
      </c>
      <c r="C605" s="1569" t="n">
        <v>31</v>
      </c>
      <c r="D605" s="1669">
        <f>C605</f>
        <v/>
      </c>
      <c r="E605" s="1571">
        <f>E604+D605</f>
        <v/>
      </c>
      <c r="F605" s="1571">
        <f>F604-D604</f>
        <v/>
      </c>
      <c r="G605" s="1572">
        <f>G604-D605</f>
        <v/>
      </c>
      <c r="H605" s="1670" t="n"/>
    </row>
    <row r="606" ht="26.25" customHeight="1" s="862">
      <c r="A606" s="1568" t="inlineStr">
        <is>
          <t>JT.#364</t>
        </is>
      </c>
      <c r="B606" s="1568" t="inlineStr">
        <is>
          <t>3-1/2" TUBING 9.2 LB/FT ALLOY 28 TSH BL</t>
        </is>
      </c>
      <c r="C606" s="1569" t="n">
        <v>31</v>
      </c>
      <c r="D606" s="1669">
        <f>C606</f>
        <v/>
      </c>
      <c r="E606" s="1571">
        <f>E605+D606</f>
        <v/>
      </c>
      <c r="F606" s="1571">
        <f>F605-D605</f>
        <v/>
      </c>
      <c r="G606" s="1572">
        <f>G605-D606</f>
        <v/>
      </c>
      <c r="H606" s="1670" t="n"/>
    </row>
    <row r="607" ht="75.75" customHeight="1" s="862">
      <c r="A607" s="1683" t="inlineStr">
        <is>
          <t>F - 1</t>
        </is>
      </c>
      <c r="B607" s="1684" t="inlineStr">
        <is>
          <t>UPPER CONN. 3-1/2" TENARIS BLUE 9.2#PPF SN 28 110 KSI
DESCRIPTION: 5 FEET PUP JOINT
SAP: 130005011338
SUPPLIER:TENARIS
LOWER CONN. 3-1/2" TENARIS BLUE 9.2#PPF SN 28 110 KSI</t>
        </is>
      </c>
      <c r="C607" s="1685" t="n">
        <v>5.08</v>
      </c>
      <c r="D607" s="1669">
        <f>C607</f>
        <v/>
      </c>
      <c r="E607" s="1571">
        <f>E606+D607</f>
        <v/>
      </c>
      <c r="F607" s="1571">
        <f>F606-D606</f>
        <v/>
      </c>
      <c r="G607" s="1572">
        <f>G606-D607</f>
        <v/>
      </c>
      <c r="H607" s="1670" t="n"/>
    </row>
    <row r="608" ht="75.75" customHeight="1" s="862">
      <c r="A608" s="1582" t="n"/>
      <c r="B608" s="1684" t="inlineStr">
        <is>
          <t>UPPER CONN. 4-1/2" VAM TOP 12.6 #PPF SN 28 120 KSI BOX
DESCRIPTION : X OVER
4 1/2 PIN TOP X 3 1/2 PIN BTM
SAP: 130005012767 SUPPLIER: TENARIS
LOWER CONN. 3-1/2" TENARIS BLUE 9.2#PPF SN 28 120 KSI PIN</t>
        </is>
      </c>
      <c r="C608" s="1685" t="n">
        <v>2.48</v>
      </c>
      <c r="D608" s="1669">
        <f>C608</f>
        <v/>
      </c>
      <c r="E608" s="1571">
        <f>E607+D608</f>
        <v/>
      </c>
      <c r="F608" s="1571">
        <f>F607-D607</f>
        <v/>
      </c>
      <c r="G608" s="1572">
        <f>G607-D608</f>
        <v/>
      </c>
      <c r="H608" s="1670" t="n"/>
    </row>
    <row r="609" ht="120.75" customHeight="1" s="862">
      <c r="A609" s="1148" t="n"/>
      <c r="B609" s="1684"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685" t="n">
        <v>1.9</v>
      </c>
      <c r="D609" s="1669">
        <f>C609</f>
        <v/>
      </c>
      <c r="E609" s="1571">
        <f>E608+D609</f>
        <v/>
      </c>
      <c r="F609" s="1571">
        <f>F608-D608</f>
        <v/>
      </c>
      <c r="G609" s="1572">
        <f>G608-D609</f>
        <v/>
      </c>
      <c r="H609" s="1670" t="n"/>
    </row>
    <row r="610" ht="23.25" customHeight="1" s="862">
      <c r="A610" s="1686" t="n"/>
      <c r="B610" s="1687" t="n"/>
      <c r="C610" s="1688" t="n"/>
      <c r="D610" s="1689" t="n"/>
      <c r="E610" s="1571">
        <f>E609+D610</f>
        <v/>
      </c>
      <c r="F610" s="1571">
        <f>F609-D609</f>
        <v/>
      </c>
      <c r="G610" s="1572">
        <f>G609-D610</f>
        <v/>
      </c>
      <c r="H610" s="1670" t="n"/>
    </row>
    <row r="611" ht="12.75" customHeight="1" s="862">
      <c r="A611" s="1686" t="n"/>
      <c r="B611" s="1687" t="n"/>
      <c r="C611" s="1688" t="n"/>
      <c r="D611" s="1689" t="n"/>
      <c r="E611" s="1689" t="n"/>
      <c r="F611" s="1689" t="n"/>
      <c r="G611" s="1689" t="n"/>
      <c r="H611" s="1689" t="n"/>
    </row>
    <row r="612" ht="12.75" customHeight="1" s="862">
      <c r="A612" s="1686" t="n"/>
      <c r="B612" s="1687" t="n"/>
      <c r="C612" s="1688" t="n"/>
      <c r="D612" s="1689" t="n"/>
      <c r="E612" s="1689" t="n"/>
      <c r="F612" s="1689" t="n"/>
      <c r="G612" s="1689" t="n"/>
      <c r="H612" s="1689" t="n"/>
    </row>
    <row r="613" ht="12.75" customHeight="1" s="862">
      <c r="A613" s="1686" t="n"/>
      <c r="B613" s="1687" t="n"/>
      <c r="C613" s="1688" t="n"/>
      <c r="D613" s="1689" t="n"/>
      <c r="E613" s="1689" t="n"/>
      <c r="F613" s="1689" t="n"/>
      <c r="G613" s="1689" t="n"/>
      <c r="H613" s="1689" t="n"/>
    </row>
    <row r="614" ht="12.75" customHeight="1" s="862">
      <c r="A614" s="1686" t="n"/>
      <c r="B614" s="1687" t="n"/>
      <c r="C614" s="1688" t="n"/>
      <c r="D614" s="1689" t="n"/>
      <c r="E614" s="1689" t="n"/>
      <c r="F614" s="1689" t="n"/>
      <c r="G614" s="1689" t="n"/>
      <c r="H614" s="1689" t="n"/>
    </row>
    <row r="615" ht="12.75" customHeight="1" s="862">
      <c r="A615" s="1686" t="n"/>
      <c r="B615" s="1687" t="n"/>
      <c r="C615" s="1688" t="n"/>
      <c r="D615" s="1689" t="n"/>
      <c r="E615" s="1689" t="n"/>
      <c r="F615" s="1689" t="n"/>
      <c r="G615" s="1689" t="n"/>
      <c r="H615" s="1689" t="n"/>
    </row>
    <row r="616" ht="12.75" customHeight="1" s="862">
      <c r="A616" s="1686" t="n"/>
      <c r="B616" s="1687" t="n"/>
      <c r="C616" s="1688" t="n"/>
      <c r="D616" s="1689" t="n"/>
      <c r="E616" s="1689" t="n"/>
      <c r="F616" s="1689" t="n"/>
      <c r="G616" s="1689" t="n"/>
      <c r="H616" s="1689" t="n"/>
    </row>
    <row r="617" ht="12.75" customHeight="1" s="862">
      <c r="A617" s="1686" t="n"/>
      <c r="B617" s="1687" t="n"/>
      <c r="C617" s="1688" t="n"/>
      <c r="D617" s="1689" t="n"/>
      <c r="E617" s="1689" t="n"/>
      <c r="F617" s="1689" t="n"/>
      <c r="G617" s="1689" t="n"/>
      <c r="H617" s="1689" t="n"/>
    </row>
    <row r="618" ht="12.75" customHeight="1" s="862">
      <c r="A618" s="1686" t="n"/>
      <c r="B618" s="1687" t="n"/>
      <c r="C618" s="1688" t="n"/>
      <c r="D618" s="1689" t="n"/>
      <c r="E618" s="1689" t="n"/>
      <c r="F618" s="1689" t="n"/>
      <c r="G618" s="1689" t="n"/>
      <c r="H618" s="1689" t="n"/>
    </row>
    <row r="619" ht="12.75" customHeight="1" s="862">
      <c r="A619" s="1686" t="n"/>
      <c r="B619" s="1687" t="n"/>
      <c r="C619" s="1688" t="n"/>
      <c r="D619" s="1689" t="n"/>
      <c r="E619" s="1689" t="n"/>
      <c r="F619" s="1689" t="n"/>
      <c r="G619" s="1689" t="n"/>
      <c r="H619" s="1689" t="n"/>
    </row>
    <row r="620" ht="12.75" customHeight="1" s="862">
      <c r="A620" s="1686" t="n"/>
      <c r="B620" s="1687" t="n"/>
      <c r="C620" s="1688" t="n"/>
      <c r="D620" s="1689" t="n"/>
      <c r="E620" s="1689" t="n"/>
      <c r="F620" s="1689" t="n"/>
      <c r="G620" s="1689" t="n"/>
      <c r="H620" s="1689" t="n"/>
    </row>
    <row r="621" ht="12.75" customHeight="1" s="862">
      <c r="A621" s="1686" t="n"/>
      <c r="B621" s="1687" t="n"/>
      <c r="C621" s="1688" t="n"/>
      <c r="D621" s="1689" t="n"/>
      <c r="E621" s="1689" t="n"/>
      <c r="F621" s="1689" t="n"/>
      <c r="G621" s="1689" t="n"/>
      <c r="H621" s="1689" t="n"/>
    </row>
    <row r="622" ht="12.75" customHeight="1" s="862">
      <c r="A622" s="1686" t="n"/>
      <c r="B622" s="1687" t="n"/>
      <c r="C622" s="1688" t="n"/>
      <c r="D622" s="1689" t="n"/>
      <c r="E622" s="1689" t="n"/>
      <c r="F622" s="1689" t="n"/>
      <c r="G622" s="1689" t="n"/>
      <c r="H622" s="1689" t="n"/>
    </row>
    <row r="623" ht="12.75" customHeight="1" s="862">
      <c r="A623" s="1686" t="n"/>
      <c r="B623" s="1687" t="n"/>
      <c r="C623" s="1688" t="n"/>
      <c r="D623" s="1689" t="n"/>
      <c r="E623" s="1689" t="n"/>
      <c r="F623" s="1689" t="n"/>
      <c r="G623" s="1689" t="n"/>
      <c r="H623" s="1689" t="n"/>
    </row>
    <row r="624" ht="12.75" customHeight="1" s="862">
      <c r="A624" s="1686" t="n"/>
      <c r="B624" s="1687" t="n"/>
      <c r="C624" s="1688" t="n"/>
      <c r="D624" s="1689" t="n"/>
      <c r="E624" s="1689" t="n"/>
      <c r="F624" s="1689" t="n"/>
      <c r="G624" s="1689" t="n"/>
      <c r="H624" s="1689" t="n"/>
    </row>
    <row r="625" ht="12.75" customHeight="1" s="862">
      <c r="A625" s="1686" t="n"/>
      <c r="B625" s="1687" t="n"/>
      <c r="C625" s="1688" t="n"/>
      <c r="D625" s="1689" t="n"/>
      <c r="E625" s="1689" t="n"/>
      <c r="F625" s="1689" t="n"/>
      <c r="G625" s="1689" t="n"/>
      <c r="H625" s="1689" t="n"/>
    </row>
    <row r="626" ht="12.75" customHeight="1" s="862">
      <c r="A626" s="1686" t="n"/>
      <c r="B626" s="1687" t="n"/>
      <c r="C626" s="1688" t="n"/>
      <c r="D626" s="1689" t="n"/>
      <c r="E626" s="1689" t="n"/>
      <c r="F626" s="1689" t="n"/>
      <c r="G626" s="1689" t="n"/>
      <c r="H626" s="1689" t="n"/>
    </row>
    <row r="627" ht="12.75" customHeight="1" s="862">
      <c r="A627" s="1686" t="n"/>
      <c r="B627" s="1687" t="n"/>
      <c r="C627" s="1688" t="n"/>
      <c r="D627" s="1689" t="n"/>
      <c r="E627" s="1689" t="n"/>
      <c r="F627" s="1689" t="n"/>
      <c r="G627" s="1689" t="n"/>
      <c r="H627" s="1689" t="n"/>
    </row>
    <row r="628" ht="12.75" customHeight="1" s="862">
      <c r="A628" s="1686" t="n"/>
      <c r="B628" s="1687" t="n"/>
      <c r="C628" s="1688" t="n"/>
      <c r="D628" s="1689" t="n"/>
      <c r="E628" s="1689" t="n"/>
      <c r="F628" s="1689" t="n"/>
      <c r="G628" s="1689" t="n"/>
      <c r="H628" s="1689" t="n"/>
    </row>
    <row r="629" ht="12.75" customHeight="1" s="862">
      <c r="A629" s="1686" t="n"/>
      <c r="B629" s="1687" t="n"/>
      <c r="C629" s="1688" t="n"/>
      <c r="D629" s="1689" t="n"/>
      <c r="E629" s="1689" t="n"/>
      <c r="F629" s="1689" t="n"/>
      <c r="G629" s="1689" t="n"/>
      <c r="H629" s="1689" t="n"/>
    </row>
    <row r="630" ht="12.75" customHeight="1" s="862">
      <c r="A630" s="1686" t="n"/>
      <c r="B630" s="1687" t="n"/>
      <c r="C630" s="1688" t="n"/>
      <c r="D630" s="1689" t="n"/>
      <c r="E630" s="1689" t="n"/>
      <c r="F630" s="1689" t="n"/>
      <c r="G630" s="1689" t="n"/>
      <c r="H630" s="1689" t="n"/>
    </row>
    <row r="631" ht="12.75" customHeight="1" s="862">
      <c r="A631" s="1686" t="n"/>
      <c r="B631" s="1687" t="n"/>
      <c r="C631" s="1688" t="n"/>
      <c r="D631" s="1689" t="n"/>
      <c r="E631" s="1689" t="n"/>
      <c r="F631" s="1689" t="n"/>
      <c r="G631" s="1689" t="n"/>
      <c r="H631" s="1689" t="n"/>
    </row>
    <row r="632" ht="12.75" customHeight="1" s="862">
      <c r="A632" s="1686" t="n"/>
      <c r="B632" s="1687" t="n"/>
      <c r="C632" s="1688" t="n"/>
      <c r="D632" s="1689" t="n"/>
      <c r="E632" s="1689" t="n"/>
      <c r="F632" s="1689" t="n"/>
      <c r="G632" s="1689" t="n"/>
      <c r="H632" s="1689" t="n"/>
    </row>
    <row r="633" ht="12.75" customHeight="1" s="862">
      <c r="A633" s="1686" t="n"/>
      <c r="B633" s="1687" t="n"/>
      <c r="C633" s="1688" t="n"/>
      <c r="D633" s="1689" t="n"/>
      <c r="E633" s="1689" t="n"/>
      <c r="F633" s="1689" t="n"/>
      <c r="G633" s="1689" t="n"/>
      <c r="H633" s="1689" t="n"/>
    </row>
    <row r="634" ht="12.75" customHeight="1" s="862">
      <c r="A634" s="1686" t="n"/>
      <c r="B634" s="1687" t="n"/>
      <c r="C634" s="1688" t="n"/>
      <c r="D634" s="1689" t="n"/>
      <c r="E634" s="1689" t="n"/>
      <c r="F634" s="1689" t="n"/>
      <c r="G634" s="1689" t="n"/>
      <c r="H634" s="1689" t="n"/>
    </row>
    <row r="635" ht="12.75" customHeight="1" s="862">
      <c r="A635" s="1686" t="n"/>
      <c r="B635" s="1687" t="n"/>
      <c r="C635" s="1688" t="n"/>
      <c r="D635" s="1689" t="n"/>
      <c r="E635" s="1689" t="n"/>
      <c r="F635" s="1689" t="n"/>
      <c r="G635" s="1689" t="n"/>
      <c r="H635" s="1689" t="n"/>
    </row>
    <row r="636" ht="12.75" customHeight="1" s="862">
      <c r="A636" s="1686" t="n"/>
      <c r="B636" s="1687" t="n"/>
      <c r="C636" s="1688" t="n"/>
      <c r="D636" s="1689" t="n"/>
      <c r="E636" s="1689" t="n"/>
      <c r="F636" s="1689" t="n"/>
      <c r="G636" s="1689" t="n"/>
      <c r="H636" s="1689" t="n"/>
    </row>
    <row r="637" ht="12.75" customHeight="1" s="862">
      <c r="A637" s="1686" t="n"/>
      <c r="B637" s="1687" t="n"/>
      <c r="C637" s="1688" t="n"/>
      <c r="D637" s="1689" t="n"/>
      <c r="E637" s="1689" t="n"/>
      <c r="F637" s="1689" t="n"/>
      <c r="G637" s="1689" t="n"/>
      <c r="H637" s="1689" t="n"/>
    </row>
    <row r="638" ht="12.75" customHeight="1" s="862">
      <c r="A638" s="1686" t="n"/>
      <c r="B638" s="1687" t="n"/>
      <c r="C638" s="1688" t="n"/>
      <c r="D638" s="1689" t="n"/>
      <c r="E638" s="1689" t="n"/>
      <c r="F638" s="1689" t="n"/>
      <c r="G638" s="1689" t="n"/>
      <c r="H638" s="1689" t="n"/>
    </row>
    <row r="639" ht="12.75" customHeight="1" s="862">
      <c r="A639" s="1686" t="n"/>
      <c r="B639" s="1687" t="n"/>
      <c r="C639" s="1688" t="n"/>
      <c r="D639" s="1689" t="n"/>
      <c r="E639" s="1689" t="n"/>
      <c r="F639" s="1689" t="n"/>
      <c r="G639" s="1689" t="n"/>
      <c r="H639" s="1689" t="n"/>
    </row>
    <row r="640" ht="12.75" customHeight="1" s="862">
      <c r="A640" s="1686" t="n"/>
      <c r="B640" s="1687" t="n"/>
      <c r="C640" s="1688" t="n"/>
      <c r="D640" s="1689" t="n"/>
      <c r="E640" s="1689" t="n"/>
      <c r="F640" s="1689" t="n"/>
      <c r="G640" s="1689" t="n"/>
      <c r="H640" s="1689" t="n"/>
    </row>
    <row r="641" ht="12.75" customHeight="1" s="862">
      <c r="A641" s="1686" t="n"/>
      <c r="B641" s="1687" t="n"/>
      <c r="C641" s="1688" t="n"/>
      <c r="D641" s="1689" t="n"/>
      <c r="E641" s="1689" t="n"/>
      <c r="F641" s="1689" t="n"/>
      <c r="G641" s="1689" t="n"/>
      <c r="H641" s="1689" t="n"/>
    </row>
    <row r="642" ht="12.75" customHeight="1" s="862">
      <c r="A642" s="1686" t="n"/>
      <c r="B642" s="1687" t="n"/>
      <c r="C642" s="1688" t="n"/>
      <c r="D642" s="1689" t="n"/>
      <c r="E642" s="1689" t="n"/>
      <c r="F642" s="1689" t="n"/>
      <c r="G642" s="1689" t="n"/>
      <c r="H642" s="1689" t="n"/>
    </row>
    <row r="643" ht="12.75" customHeight="1" s="862">
      <c r="A643" s="1686" t="n"/>
      <c r="B643" s="1687" t="n"/>
      <c r="C643" s="1688" t="n"/>
      <c r="D643" s="1689" t="n"/>
      <c r="E643" s="1689" t="n"/>
      <c r="F643" s="1689" t="n"/>
      <c r="G643" s="1689" t="n"/>
      <c r="H643" s="1689" t="n"/>
    </row>
    <row r="644" ht="12.75" customHeight="1" s="862">
      <c r="A644" s="1686" t="n"/>
      <c r="B644" s="1687" t="n"/>
      <c r="C644" s="1688" t="n"/>
      <c r="D644" s="1689" t="n"/>
      <c r="E644" s="1689" t="n"/>
      <c r="F644" s="1689" t="n"/>
      <c r="G644" s="1689" t="n"/>
      <c r="H644" s="1689" t="n"/>
    </row>
    <row r="645" ht="12.75" customHeight="1" s="862">
      <c r="A645" s="1686" t="n"/>
      <c r="B645" s="1687" t="n"/>
      <c r="C645" s="1688" t="n"/>
      <c r="D645" s="1689" t="n"/>
      <c r="E645" s="1689" t="n"/>
      <c r="F645" s="1689" t="n"/>
      <c r="G645" s="1689" t="n"/>
      <c r="H645" s="1689" t="n"/>
    </row>
    <row r="646" ht="12.75" customHeight="1" s="862">
      <c r="A646" s="1686" t="n"/>
      <c r="B646" s="1687" t="n"/>
      <c r="C646" s="1688" t="n"/>
      <c r="D646" s="1689" t="n"/>
      <c r="E646" s="1689" t="n"/>
      <c r="F646" s="1689" t="n"/>
      <c r="G646" s="1689" t="n"/>
      <c r="H646" s="1689" t="n"/>
    </row>
    <row r="647" ht="12.75" customHeight="1" s="862">
      <c r="A647" s="1686" t="n"/>
      <c r="B647" s="1687" t="n"/>
      <c r="C647" s="1688" t="n"/>
      <c r="D647" s="1689" t="n"/>
      <c r="E647" s="1689" t="n"/>
      <c r="F647" s="1689" t="n"/>
      <c r="G647" s="1689" t="n"/>
      <c r="H647" s="1689" t="n"/>
    </row>
    <row r="648" ht="12.75" customHeight="1" s="862">
      <c r="A648" s="1686" t="n"/>
      <c r="B648" s="1687" t="n"/>
      <c r="C648" s="1688" t="n"/>
      <c r="D648" s="1689" t="n"/>
      <c r="E648" s="1689" t="n"/>
      <c r="F648" s="1689" t="n"/>
      <c r="G648" s="1689" t="n"/>
      <c r="H648" s="1689" t="n"/>
    </row>
    <row r="649" ht="12.75" customHeight="1" s="862">
      <c r="A649" s="1686" t="n"/>
      <c r="B649" s="1687" t="n"/>
      <c r="C649" s="1688" t="n"/>
      <c r="D649" s="1689" t="n"/>
      <c r="E649" s="1689" t="n"/>
      <c r="F649" s="1689" t="n"/>
      <c r="G649" s="1689" t="n"/>
      <c r="H649" s="1689" t="n"/>
    </row>
    <row r="650" ht="12.75" customHeight="1" s="862">
      <c r="A650" s="1686" t="n"/>
      <c r="B650" s="1687" t="n"/>
      <c r="C650" s="1688" t="n"/>
      <c r="D650" s="1689" t="n"/>
      <c r="E650" s="1689" t="n"/>
      <c r="F650" s="1689" t="n"/>
      <c r="G650" s="1689" t="n"/>
      <c r="H650" s="1689" t="n"/>
    </row>
    <row r="651" ht="12.75" customHeight="1" s="862">
      <c r="A651" s="1686" t="n"/>
      <c r="B651" s="1687" t="n"/>
      <c r="C651" s="1688" t="n"/>
      <c r="D651" s="1689" t="n"/>
      <c r="E651" s="1689" t="n"/>
      <c r="F651" s="1689" t="n"/>
      <c r="G651" s="1689" t="n"/>
      <c r="H651" s="1689" t="n"/>
    </row>
    <row r="652" ht="12.75" customHeight="1" s="862">
      <c r="A652" s="1686" t="n"/>
      <c r="B652" s="1687" t="n"/>
      <c r="C652" s="1688" t="n"/>
      <c r="D652" s="1689" t="n"/>
      <c r="E652" s="1689" t="n"/>
      <c r="F652" s="1689" t="n"/>
      <c r="G652" s="1689" t="n"/>
      <c r="H652" s="1689" t="n"/>
    </row>
    <row r="653" ht="12.75" customHeight="1" s="862">
      <c r="A653" s="1686" t="n"/>
      <c r="B653" s="1687" t="n"/>
      <c r="C653" s="1688" t="n"/>
      <c r="D653" s="1689" t="n"/>
      <c r="E653" s="1689" t="n"/>
      <c r="F653" s="1689" t="n"/>
      <c r="G653" s="1689" t="n"/>
      <c r="H653" s="1689" t="n"/>
    </row>
    <row r="654" ht="12.75" customHeight="1" s="862">
      <c r="A654" s="1686" t="n"/>
      <c r="B654" s="1687" t="n"/>
      <c r="C654" s="1688" t="n"/>
      <c r="D654" s="1689" t="n"/>
      <c r="E654" s="1689" t="n"/>
      <c r="F654" s="1689" t="n"/>
      <c r="G654" s="1689" t="n"/>
      <c r="H654" s="1689" t="n"/>
    </row>
    <row r="655" ht="12.75" customHeight="1" s="862">
      <c r="A655" s="1686" t="n"/>
      <c r="B655" s="1687" t="n"/>
      <c r="C655" s="1688" t="n"/>
      <c r="D655" s="1689" t="n"/>
      <c r="E655" s="1689" t="n"/>
      <c r="F655" s="1689" t="n"/>
      <c r="G655" s="1689" t="n"/>
      <c r="H655" s="1689" t="n"/>
    </row>
    <row r="656" ht="12.75" customHeight="1" s="862">
      <c r="A656" s="1686" t="n"/>
      <c r="B656" s="1687" t="n"/>
      <c r="C656" s="1688" t="n"/>
      <c r="D656" s="1689" t="n"/>
      <c r="E656" s="1689" t="n"/>
      <c r="F656" s="1689" t="n"/>
      <c r="G656" s="1689" t="n"/>
      <c r="H656" s="1689" t="n"/>
    </row>
    <row r="657" ht="12.75" customHeight="1" s="862">
      <c r="A657" s="1686" t="n"/>
      <c r="B657" s="1687" t="n"/>
      <c r="C657" s="1688" t="n"/>
      <c r="D657" s="1689" t="n"/>
      <c r="E657" s="1689" t="n"/>
      <c r="F657" s="1689" t="n"/>
      <c r="G657" s="1689" t="n"/>
      <c r="H657" s="1689" t="n"/>
    </row>
    <row r="658" ht="12.75" customHeight="1" s="862">
      <c r="A658" s="1686" t="n"/>
      <c r="B658" s="1687" t="n"/>
      <c r="C658" s="1688" t="n"/>
      <c r="D658" s="1689" t="n"/>
      <c r="E658" s="1689" t="n"/>
      <c r="F658" s="1689" t="n"/>
      <c r="G658" s="1689" t="n"/>
      <c r="H658" s="1689" t="n"/>
    </row>
    <row r="659" ht="12.75" customHeight="1" s="862">
      <c r="A659" s="1686" t="n"/>
      <c r="B659" s="1687" t="n"/>
      <c r="C659" s="1688" t="n"/>
      <c r="D659" s="1689" t="n"/>
      <c r="E659" s="1689" t="n"/>
      <c r="F659" s="1689" t="n"/>
      <c r="G659" s="1689" t="n"/>
      <c r="H659" s="1689" t="n"/>
    </row>
    <row r="660" ht="12.75" customHeight="1" s="862">
      <c r="A660" s="1686" t="n"/>
      <c r="B660" s="1687" t="n"/>
      <c r="C660" s="1688" t="n"/>
      <c r="D660" s="1689" t="n"/>
      <c r="E660" s="1689" t="n"/>
      <c r="F660" s="1689" t="n"/>
      <c r="G660" s="1689" t="n"/>
      <c r="H660" s="1689" t="n"/>
    </row>
    <row r="661" ht="12.75" customHeight="1" s="862">
      <c r="A661" s="1686" t="n"/>
      <c r="B661" s="1687" t="n"/>
      <c r="C661" s="1688" t="n"/>
      <c r="D661" s="1689" t="n"/>
      <c r="E661" s="1689" t="n"/>
      <c r="F661" s="1689" t="n"/>
      <c r="G661" s="1689" t="n"/>
      <c r="H661" s="1689" t="n"/>
    </row>
    <row r="662" ht="12.75" customHeight="1" s="862">
      <c r="A662" s="1686" t="n"/>
      <c r="B662" s="1687" t="n"/>
      <c r="C662" s="1688" t="n"/>
      <c r="D662" s="1689" t="n"/>
      <c r="E662" s="1689" t="n"/>
      <c r="F662" s="1689" t="n"/>
      <c r="G662" s="1689" t="n"/>
      <c r="H662" s="1689" t="n"/>
    </row>
    <row r="663" ht="12.75" customHeight="1" s="862">
      <c r="A663" s="1686" t="n"/>
      <c r="B663" s="1687" t="n"/>
      <c r="C663" s="1688" t="n"/>
      <c r="D663" s="1689" t="n"/>
      <c r="E663" s="1689" t="n"/>
      <c r="F663" s="1689" t="n"/>
      <c r="G663" s="1689" t="n"/>
      <c r="H663" s="1689" t="n"/>
    </row>
    <row r="664" ht="12.75" customHeight="1" s="862">
      <c r="A664" s="1686" t="n"/>
      <c r="B664" s="1687" t="n"/>
      <c r="C664" s="1688" t="n"/>
      <c r="D664" s="1689" t="n"/>
      <c r="E664" s="1689" t="n"/>
      <c r="F664" s="1689" t="n"/>
      <c r="G664" s="1689" t="n"/>
      <c r="H664" s="1689" t="n"/>
    </row>
    <row r="665" ht="12.75" customHeight="1" s="862">
      <c r="A665" s="1686" t="n"/>
      <c r="B665" s="1687" t="n"/>
      <c r="C665" s="1688" t="n"/>
      <c r="D665" s="1689" t="n"/>
      <c r="E665" s="1689" t="n"/>
      <c r="F665" s="1689" t="n"/>
      <c r="G665" s="1689" t="n"/>
      <c r="H665" s="1689" t="n"/>
    </row>
    <row r="666" ht="12.75" customHeight="1" s="862">
      <c r="A666" s="1686" t="n"/>
      <c r="B666" s="1687" t="n"/>
      <c r="C666" s="1688" t="n"/>
      <c r="D666" s="1689" t="n"/>
      <c r="E666" s="1689" t="n"/>
      <c r="F666" s="1689" t="n"/>
      <c r="G666" s="1689" t="n"/>
      <c r="H666" s="1689" t="n"/>
    </row>
    <row r="667" ht="12.75" customHeight="1" s="862">
      <c r="A667" s="1686" t="n"/>
      <c r="B667" s="1687" t="n"/>
      <c r="C667" s="1688" t="n"/>
      <c r="D667" s="1689" t="n"/>
      <c r="E667" s="1689" t="n"/>
      <c r="F667" s="1689" t="n"/>
      <c r="G667" s="1689" t="n"/>
      <c r="H667" s="1689" t="n"/>
    </row>
    <row r="668" ht="12.75" customHeight="1" s="862">
      <c r="A668" s="1686" t="n"/>
      <c r="B668" s="1687" t="n"/>
      <c r="C668" s="1688" t="n"/>
      <c r="D668" s="1689" t="n"/>
      <c r="E668" s="1689" t="n"/>
      <c r="F668" s="1689" t="n"/>
      <c r="G668" s="1689" t="n"/>
      <c r="H668" s="1689" t="n"/>
    </row>
    <row r="669" ht="12.75" customHeight="1" s="862">
      <c r="A669" s="1686" t="n"/>
      <c r="B669" s="1687" t="n"/>
      <c r="C669" s="1688" t="n"/>
      <c r="D669" s="1689" t="n"/>
      <c r="E669" s="1689" t="n"/>
      <c r="F669" s="1689" t="n"/>
      <c r="G669" s="1689" t="n"/>
      <c r="H669" s="1689" t="n"/>
    </row>
    <row r="670" ht="12.75" customHeight="1" s="862">
      <c r="A670" s="1686" t="n"/>
      <c r="B670" s="1687" t="n"/>
      <c r="C670" s="1688" t="n"/>
      <c r="D670" s="1689" t="n"/>
      <c r="E670" s="1689" t="n"/>
      <c r="F670" s="1689" t="n"/>
      <c r="G670" s="1689" t="n"/>
      <c r="H670" s="1689" t="n"/>
    </row>
    <row r="671" ht="12.75" customHeight="1" s="862">
      <c r="A671" s="1686" t="n"/>
      <c r="B671" s="1687" t="n"/>
      <c r="C671" s="1688" t="n"/>
      <c r="D671" s="1689" t="n"/>
      <c r="E671" s="1689" t="n"/>
      <c r="F671" s="1689" t="n"/>
      <c r="G671" s="1689" t="n"/>
      <c r="H671" s="1689" t="n"/>
    </row>
    <row r="672" ht="12.75" customHeight="1" s="862">
      <c r="A672" s="1686" t="n"/>
      <c r="B672" s="1687" t="n"/>
      <c r="C672" s="1688" t="n"/>
      <c r="D672" s="1689" t="n"/>
      <c r="E672" s="1689" t="n"/>
      <c r="F672" s="1689" t="n"/>
      <c r="G672" s="1689" t="n"/>
      <c r="H672" s="1689" t="n"/>
    </row>
    <row r="673" ht="12.75" customHeight="1" s="862">
      <c r="A673" s="1686" t="n"/>
      <c r="B673" s="1687" t="n"/>
      <c r="C673" s="1688" t="n"/>
      <c r="D673" s="1689" t="n"/>
      <c r="E673" s="1689" t="n"/>
      <c r="F673" s="1689" t="n"/>
      <c r="G673" s="1689" t="n"/>
      <c r="H673" s="1689" t="n"/>
    </row>
    <row r="674" ht="12.75" customHeight="1" s="862">
      <c r="A674" s="1686" t="n"/>
      <c r="B674" s="1687" t="n"/>
      <c r="C674" s="1688" t="n"/>
      <c r="D674" s="1689" t="n"/>
      <c r="E674" s="1689" t="n"/>
      <c r="F674" s="1689" t="n"/>
      <c r="G674" s="1689" t="n"/>
      <c r="H674" s="1689" t="n"/>
    </row>
    <row r="675" ht="12.75" customHeight="1" s="862">
      <c r="A675" s="1686" t="n"/>
      <c r="B675" s="1687" t="n"/>
      <c r="C675" s="1688" t="n"/>
      <c r="D675" s="1689" t="n"/>
      <c r="E675" s="1689" t="n"/>
      <c r="F675" s="1689" t="n"/>
      <c r="G675" s="1689" t="n"/>
      <c r="H675" s="1689" t="n"/>
    </row>
    <row r="676" ht="12.75" customHeight="1" s="862">
      <c r="A676" s="1686" t="n"/>
      <c r="B676" s="1687" t="n"/>
      <c r="C676" s="1688" t="n"/>
      <c r="D676" s="1689" t="n"/>
      <c r="E676" s="1689" t="n"/>
      <c r="F676" s="1689" t="n"/>
      <c r="G676" s="1689" t="n"/>
      <c r="H676" s="1689" t="n"/>
    </row>
    <row r="677" ht="12.75" customHeight="1" s="862">
      <c r="A677" s="1686" t="n"/>
      <c r="B677" s="1687" t="n"/>
      <c r="C677" s="1688" t="n"/>
      <c r="D677" s="1689" t="n"/>
      <c r="E677" s="1689" t="n"/>
      <c r="F677" s="1689" t="n"/>
      <c r="G677" s="1689" t="n"/>
      <c r="H677" s="1689" t="n"/>
    </row>
    <row r="678" ht="12.75" customHeight="1" s="862">
      <c r="A678" s="1686" t="n"/>
      <c r="B678" s="1687" t="n"/>
      <c r="C678" s="1688" t="n"/>
      <c r="D678" s="1689" t="n"/>
      <c r="E678" s="1689" t="n"/>
      <c r="F678" s="1689" t="n"/>
      <c r="G678" s="1689" t="n"/>
      <c r="H678" s="1689" t="n"/>
    </row>
    <row r="679" ht="12.75" customHeight="1" s="862">
      <c r="A679" s="1686" t="n"/>
      <c r="B679" s="1687" t="n"/>
      <c r="C679" s="1688" t="n"/>
      <c r="D679" s="1689" t="n"/>
      <c r="E679" s="1689" t="n"/>
      <c r="F679" s="1689" t="n"/>
      <c r="G679" s="1689" t="n"/>
      <c r="H679" s="1689" t="n"/>
    </row>
    <row r="680" ht="12.75" customHeight="1" s="862">
      <c r="A680" s="1686" t="n"/>
      <c r="B680" s="1687" t="n"/>
      <c r="C680" s="1688" t="n"/>
      <c r="D680" s="1689" t="n"/>
      <c r="E680" s="1689" t="n"/>
      <c r="F680" s="1689" t="n"/>
      <c r="G680" s="1689" t="n"/>
      <c r="H680" s="1689" t="n"/>
    </row>
    <row r="681" ht="12.75" customHeight="1" s="862">
      <c r="A681" s="1686" t="n"/>
      <c r="B681" s="1687" t="n"/>
      <c r="C681" s="1688" t="n"/>
      <c r="D681" s="1689" t="n"/>
      <c r="E681" s="1689" t="n"/>
      <c r="F681" s="1689" t="n"/>
      <c r="G681" s="1689" t="n"/>
      <c r="H681" s="1689" t="n"/>
    </row>
    <row r="682" ht="12.75" customHeight="1" s="862">
      <c r="A682" s="1686" t="n"/>
      <c r="B682" s="1687" t="n"/>
      <c r="C682" s="1688" t="n"/>
      <c r="D682" s="1689" t="n"/>
      <c r="E682" s="1689" t="n"/>
      <c r="F682" s="1689" t="n"/>
      <c r="G682" s="1689" t="n"/>
      <c r="H682" s="1689" t="n"/>
    </row>
    <row r="683" ht="12.75" customHeight="1" s="862">
      <c r="A683" s="1686" t="n"/>
      <c r="B683" s="1687" t="n"/>
      <c r="C683" s="1688" t="n"/>
      <c r="D683" s="1689" t="n"/>
      <c r="E683" s="1689" t="n"/>
      <c r="F683" s="1689" t="n"/>
      <c r="G683" s="1689" t="n"/>
      <c r="H683" s="1689" t="n"/>
    </row>
    <row r="684" ht="12.75" customHeight="1" s="862">
      <c r="A684" s="1686" t="n"/>
      <c r="B684" s="1687" t="n"/>
      <c r="C684" s="1688" t="n"/>
      <c r="D684" s="1689" t="n"/>
      <c r="E684" s="1689" t="n"/>
      <c r="F684" s="1689" t="n"/>
      <c r="G684" s="1689" t="n"/>
      <c r="H684" s="1689" t="n"/>
    </row>
    <row r="685" ht="12.75" customHeight="1" s="862">
      <c r="A685" s="1686" t="n"/>
      <c r="B685" s="1687" t="n"/>
      <c r="C685" s="1688" t="n"/>
      <c r="D685" s="1689" t="n"/>
      <c r="E685" s="1689" t="n"/>
      <c r="F685" s="1689" t="n"/>
      <c r="G685" s="1689" t="n"/>
      <c r="H685" s="1689" t="n"/>
    </row>
    <row r="686" ht="12.75" customHeight="1" s="862">
      <c r="A686" s="1686" t="n"/>
      <c r="B686" s="1687" t="n"/>
      <c r="C686" s="1688" t="n"/>
      <c r="D686" s="1689" t="n"/>
      <c r="E686" s="1689" t="n"/>
      <c r="F686" s="1689" t="n"/>
      <c r="G686" s="1689" t="n"/>
      <c r="H686" s="1689" t="n"/>
    </row>
    <row r="687" ht="12.75" customHeight="1" s="862">
      <c r="A687" s="1686" t="n"/>
      <c r="B687" s="1687" t="n"/>
      <c r="C687" s="1688" t="n"/>
      <c r="D687" s="1689" t="n"/>
      <c r="E687" s="1689" t="n"/>
      <c r="F687" s="1689" t="n"/>
      <c r="G687" s="1689" t="n"/>
      <c r="H687" s="1689" t="n"/>
    </row>
    <row r="688" ht="12.75" customHeight="1" s="862">
      <c r="A688" s="1686" t="n"/>
      <c r="B688" s="1687" t="n"/>
      <c r="C688" s="1688" t="n"/>
      <c r="D688" s="1689" t="n"/>
      <c r="E688" s="1689" t="n"/>
      <c r="F688" s="1689" t="n"/>
      <c r="G688" s="1689" t="n"/>
      <c r="H688" s="1689" t="n"/>
    </row>
    <row r="689" ht="12.75" customHeight="1" s="862">
      <c r="A689" s="1686" t="n"/>
      <c r="B689" s="1687" t="n"/>
      <c r="C689" s="1688" t="n"/>
      <c r="D689" s="1689" t="n"/>
      <c r="E689" s="1689" t="n"/>
      <c r="F689" s="1689" t="n"/>
      <c r="G689" s="1689" t="n"/>
      <c r="H689" s="1689" t="n"/>
    </row>
    <row r="690" ht="12.75" customHeight="1" s="862">
      <c r="A690" s="1686" t="n"/>
      <c r="B690" s="1687" t="n"/>
      <c r="C690" s="1688" t="n"/>
      <c r="D690" s="1689" t="n"/>
      <c r="E690" s="1689" t="n"/>
      <c r="F690" s="1689" t="n"/>
      <c r="G690" s="1689" t="n"/>
      <c r="H690" s="1689" t="n"/>
    </row>
    <row r="691" ht="12.75" customHeight="1" s="862">
      <c r="A691" s="1686" t="n"/>
      <c r="B691" s="1687" t="n"/>
      <c r="C691" s="1688" t="n"/>
      <c r="D691" s="1689" t="n"/>
      <c r="E691" s="1689" t="n"/>
      <c r="F691" s="1689" t="n"/>
      <c r="G691" s="1689" t="n"/>
      <c r="H691" s="1689" t="n"/>
    </row>
    <row r="692" ht="12.75" customHeight="1" s="862">
      <c r="A692" s="1686" t="n"/>
      <c r="B692" s="1687" t="n"/>
      <c r="C692" s="1688" t="n"/>
      <c r="D692" s="1689" t="n"/>
      <c r="E692" s="1689" t="n"/>
      <c r="F692" s="1689" t="n"/>
      <c r="G692" s="1689" t="n"/>
      <c r="H692" s="1689" t="n"/>
    </row>
    <row r="693" ht="12.75" customHeight="1" s="862">
      <c r="A693" s="1686" t="n"/>
      <c r="B693" s="1687" t="n"/>
      <c r="C693" s="1688" t="n"/>
      <c r="D693" s="1689" t="n"/>
      <c r="E693" s="1689" t="n"/>
      <c r="F693" s="1689" t="n"/>
      <c r="G693" s="1689" t="n"/>
      <c r="H693" s="1689" t="n"/>
    </row>
    <row r="694" ht="12.75" customHeight="1" s="862">
      <c r="A694" s="1686" t="n"/>
      <c r="B694" s="1687" t="n"/>
      <c r="C694" s="1688" t="n"/>
      <c r="D694" s="1689" t="n"/>
      <c r="E694" s="1689" t="n"/>
      <c r="F694" s="1689" t="n"/>
      <c r="G694" s="1689" t="n"/>
      <c r="H694" s="1689" t="n"/>
    </row>
    <row r="695" ht="12.75" customHeight="1" s="862">
      <c r="A695" s="1686" t="n"/>
      <c r="B695" s="1687" t="n"/>
      <c r="C695" s="1688" t="n"/>
      <c r="D695" s="1689" t="n"/>
      <c r="E695" s="1689" t="n"/>
      <c r="F695" s="1689" t="n"/>
      <c r="G695" s="1689" t="n"/>
      <c r="H695" s="1689" t="n"/>
    </row>
    <row r="696" ht="12.75" customHeight="1" s="862">
      <c r="A696" s="1686" t="n"/>
      <c r="B696" s="1687" t="n"/>
      <c r="C696" s="1688" t="n"/>
      <c r="D696" s="1689" t="n"/>
      <c r="E696" s="1689" t="n"/>
      <c r="F696" s="1689" t="n"/>
      <c r="G696" s="1689" t="n"/>
      <c r="H696" s="1689" t="n"/>
    </row>
    <row r="697" ht="12.75" customHeight="1" s="862">
      <c r="A697" s="1686" t="n"/>
      <c r="B697" s="1687" t="n"/>
      <c r="C697" s="1688" t="n"/>
      <c r="D697" s="1689" t="n"/>
      <c r="E697" s="1689" t="n"/>
      <c r="F697" s="1689" t="n"/>
      <c r="G697" s="1689" t="n"/>
      <c r="H697" s="1689" t="n"/>
    </row>
    <row r="698" ht="12.75" customHeight="1" s="862">
      <c r="A698" s="1686" t="n"/>
      <c r="B698" s="1687" t="n"/>
      <c r="C698" s="1688" t="n"/>
      <c r="D698" s="1689" t="n"/>
      <c r="E698" s="1689" t="n"/>
      <c r="F698" s="1689" t="n"/>
      <c r="G698" s="1689" t="n"/>
      <c r="H698" s="1689" t="n"/>
    </row>
    <row r="699" ht="12.75" customHeight="1" s="862">
      <c r="A699" s="1686" t="n"/>
      <c r="B699" s="1687" t="n"/>
      <c r="C699" s="1688" t="n"/>
      <c r="D699" s="1689" t="n"/>
      <c r="E699" s="1689" t="n"/>
      <c r="F699" s="1689" t="n"/>
      <c r="G699" s="1689" t="n"/>
      <c r="H699" s="1689" t="n"/>
    </row>
    <row r="700" ht="12.75" customHeight="1" s="862">
      <c r="A700" s="1686" t="n"/>
      <c r="B700" s="1687" t="n"/>
      <c r="C700" s="1688" t="n"/>
      <c r="D700" s="1689" t="n"/>
      <c r="E700" s="1689" t="n"/>
      <c r="F700" s="1689" t="n"/>
      <c r="G700" s="1689" t="n"/>
      <c r="H700" s="1689" t="n"/>
    </row>
    <row r="701" ht="12.75" customHeight="1" s="862">
      <c r="A701" s="1686" t="n"/>
      <c r="B701" s="1687" t="n"/>
      <c r="C701" s="1688" t="n"/>
      <c r="D701" s="1689" t="n"/>
      <c r="E701" s="1689" t="n"/>
      <c r="F701" s="1689" t="n"/>
      <c r="G701" s="1689" t="n"/>
      <c r="H701" s="1689" t="n"/>
    </row>
    <row r="702" ht="12.75" customHeight="1" s="862">
      <c r="A702" s="1686" t="n"/>
      <c r="B702" s="1687" t="n"/>
      <c r="C702" s="1688" t="n"/>
      <c r="D702" s="1689" t="n"/>
      <c r="E702" s="1689" t="n"/>
      <c r="F702" s="1689" t="n"/>
      <c r="G702" s="1689" t="n"/>
      <c r="H702" s="1689" t="n"/>
    </row>
    <row r="703" ht="12.75" customHeight="1" s="862">
      <c r="A703" s="1686" t="n"/>
      <c r="B703" s="1687" t="n"/>
      <c r="C703" s="1688" t="n"/>
      <c r="D703" s="1689" t="n"/>
      <c r="E703" s="1689" t="n"/>
      <c r="F703" s="1689" t="n"/>
      <c r="G703" s="1689" t="n"/>
      <c r="H703" s="1689" t="n"/>
    </row>
    <row r="704" ht="12.75" customHeight="1" s="862">
      <c r="A704" s="1686" t="n"/>
      <c r="B704" s="1687" t="n"/>
      <c r="C704" s="1688" t="n"/>
      <c r="D704" s="1689" t="n"/>
      <c r="E704" s="1689" t="n"/>
      <c r="F704" s="1689" t="n"/>
      <c r="G704" s="1689" t="n"/>
      <c r="H704" s="1689" t="n"/>
    </row>
    <row r="705" ht="12.75" customHeight="1" s="862">
      <c r="A705" s="1686" t="n"/>
      <c r="B705" s="1687" t="n"/>
      <c r="C705" s="1688" t="n"/>
      <c r="D705" s="1689" t="n"/>
      <c r="E705" s="1689" t="n"/>
      <c r="F705" s="1689" t="n"/>
      <c r="G705" s="1689" t="n"/>
      <c r="H705" s="1689" t="n"/>
    </row>
    <row r="706" ht="12.75" customHeight="1" s="862">
      <c r="A706" s="1686" t="n"/>
      <c r="B706" s="1687" t="n"/>
      <c r="C706" s="1688" t="n"/>
      <c r="D706" s="1689" t="n"/>
      <c r="E706" s="1689" t="n"/>
      <c r="F706" s="1689" t="n"/>
      <c r="G706" s="1689" t="n"/>
      <c r="H706" s="1689" t="n"/>
    </row>
    <row r="707" ht="12.75" customHeight="1" s="862">
      <c r="A707" s="1686" t="n"/>
      <c r="B707" s="1687" t="n"/>
      <c r="C707" s="1688" t="n"/>
      <c r="D707" s="1689" t="n"/>
      <c r="E707" s="1689" t="n"/>
      <c r="F707" s="1689" t="n"/>
      <c r="G707" s="1689" t="n"/>
      <c r="H707" s="1689" t="n"/>
    </row>
    <row r="708" ht="12.75" customHeight="1" s="862">
      <c r="A708" s="1686" t="n"/>
      <c r="B708" s="1687" t="n"/>
      <c r="C708" s="1688" t="n"/>
      <c r="D708" s="1689" t="n"/>
      <c r="E708" s="1689" t="n"/>
      <c r="F708" s="1689" t="n"/>
      <c r="G708" s="1689" t="n"/>
      <c r="H708" s="1689" t="n"/>
    </row>
    <row r="709" ht="12.75" customHeight="1" s="862">
      <c r="A709" s="1686" t="n"/>
      <c r="B709" s="1687" t="n"/>
      <c r="C709" s="1688" t="n"/>
      <c r="D709" s="1689" t="n"/>
      <c r="E709" s="1689" t="n"/>
      <c r="F709" s="1689" t="n"/>
      <c r="G709" s="1689" t="n"/>
      <c r="H709" s="1689" t="n"/>
    </row>
    <row r="710" ht="12.75" customHeight="1" s="862">
      <c r="A710" s="1686" t="n"/>
      <c r="B710" s="1687" t="n"/>
      <c r="C710" s="1688" t="n"/>
      <c r="D710" s="1689" t="n"/>
      <c r="E710" s="1689" t="n"/>
      <c r="F710" s="1689" t="n"/>
      <c r="G710" s="1689" t="n"/>
      <c r="H710" s="1689" t="n"/>
    </row>
    <row r="711" ht="12.75" customHeight="1" s="862">
      <c r="A711" s="1686" t="n"/>
      <c r="B711" s="1687" t="n"/>
      <c r="C711" s="1688" t="n"/>
      <c r="D711" s="1689" t="n"/>
      <c r="E711" s="1689" t="n"/>
      <c r="F711" s="1689" t="n"/>
      <c r="G711" s="1689" t="n"/>
      <c r="H711" s="1689" t="n"/>
    </row>
    <row r="712" ht="12.75" customHeight="1" s="862">
      <c r="A712" s="1686" t="n"/>
      <c r="B712" s="1687" t="n"/>
      <c r="C712" s="1688" t="n"/>
      <c r="D712" s="1689" t="n"/>
      <c r="E712" s="1689" t="n"/>
      <c r="F712" s="1689" t="n"/>
      <c r="G712" s="1689" t="n"/>
      <c r="H712" s="1689" t="n"/>
    </row>
    <row r="713" ht="12.75" customHeight="1" s="862">
      <c r="A713" s="1686" t="n"/>
      <c r="B713" s="1687" t="n"/>
      <c r="C713" s="1688" t="n"/>
      <c r="D713" s="1689" t="n"/>
      <c r="E713" s="1689" t="n"/>
      <c r="F713" s="1689" t="n"/>
      <c r="G713" s="1689" t="n"/>
      <c r="H713" s="1689" t="n"/>
    </row>
    <row r="714" ht="12.75" customHeight="1" s="862">
      <c r="A714" s="1686" t="n"/>
      <c r="B714" s="1687" t="n"/>
      <c r="C714" s="1688" t="n"/>
      <c r="D714" s="1689" t="n"/>
      <c r="E714" s="1689" t="n"/>
      <c r="F714" s="1689" t="n"/>
      <c r="G714" s="1689" t="n"/>
      <c r="H714" s="1689" t="n"/>
    </row>
    <row r="715" ht="12.75" customHeight="1" s="862">
      <c r="A715" s="1686" t="n"/>
      <c r="B715" s="1687" t="n"/>
      <c r="C715" s="1688" t="n"/>
      <c r="D715" s="1689" t="n"/>
      <c r="E715" s="1689" t="n"/>
      <c r="F715" s="1689" t="n"/>
      <c r="G715" s="1689" t="n"/>
      <c r="H715" s="1689" t="n"/>
    </row>
    <row r="716" ht="12.75" customHeight="1" s="862">
      <c r="A716" s="1686" t="n"/>
      <c r="B716" s="1687" t="n"/>
      <c r="C716" s="1688" t="n"/>
      <c r="D716" s="1689" t="n"/>
      <c r="E716" s="1689" t="n"/>
      <c r="F716" s="1689" t="n"/>
      <c r="G716" s="1689" t="n"/>
      <c r="H716" s="1689" t="n"/>
    </row>
    <row r="717" ht="12.75" customHeight="1" s="862">
      <c r="A717" s="1686" t="n"/>
      <c r="B717" s="1687" t="n"/>
      <c r="C717" s="1688" t="n"/>
      <c r="D717" s="1689" t="n"/>
      <c r="E717" s="1689" t="n"/>
      <c r="F717" s="1689" t="n"/>
      <c r="G717" s="1689" t="n"/>
      <c r="H717" s="1689" t="n"/>
    </row>
    <row r="718" ht="12.75" customHeight="1" s="862">
      <c r="A718" s="1686" t="n"/>
      <c r="B718" s="1687" t="n"/>
      <c r="C718" s="1688" t="n"/>
      <c r="D718" s="1689" t="n"/>
      <c r="E718" s="1689" t="n"/>
      <c r="F718" s="1689" t="n"/>
      <c r="G718" s="1689" t="n"/>
      <c r="H718" s="1689" t="n"/>
    </row>
    <row r="719" ht="12.75" customHeight="1" s="862">
      <c r="A719" s="1686" t="n"/>
      <c r="B719" s="1687" t="n"/>
      <c r="C719" s="1688" t="n"/>
      <c r="D719" s="1689" t="n"/>
      <c r="E719" s="1689" t="n"/>
      <c r="F719" s="1689" t="n"/>
      <c r="G719" s="1689" t="n"/>
      <c r="H719" s="1689" t="n"/>
    </row>
    <row r="720" ht="12.75" customHeight="1" s="862">
      <c r="A720" s="1690" t="n"/>
      <c r="B720" s="1687" t="n"/>
      <c r="C720" s="1688" t="n"/>
      <c r="D720" s="1689" t="n"/>
      <c r="E720" s="1689" t="n"/>
      <c r="F720" s="1689" t="n"/>
      <c r="G720" s="1689" t="n"/>
      <c r="H720" s="1689" t="n"/>
    </row>
    <row r="721" ht="12.75" customHeight="1" s="862">
      <c r="A721" s="1690" t="n"/>
      <c r="B721" s="1687" t="n"/>
      <c r="C721" s="1688" t="n"/>
      <c r="D721" s="1689" t="n"/>
      <c r="E721" s="1689" t="n"/>
      <c r="F721" s="1689" t="n"/>
      <c r="G721" s="1689" t="n"/>
      <c r="H721" s="1689" t="n"/>
    </row>
    <row r="722" ht="12.75" customHeight="1" s="862">
      <c r="A722" s="1690" t="n"/>
      <c r="B722" s="1687" t="n"/>
      <c r="C722" s="1688" t="n"/>
      <c r="D722" s="1689" t="n"/>
      <c r="E722" s="1689" t="n"/>
      <c r="F722" s="1689" t="n"/>
      <c r="G722" s="1689" t="n"/>
      <c r="H722" s="1689" t="n"/>
    </row>
    <row r="723" ht="12.75" customHeight="1" s="862">
      <c r="A723" s="1690" t="n"/>
      <c r="B723" s="1687" t="n"/>
      <c r="C723" s="1688" t="n"/>
      <c r="D723" s="1689" t="n"/>
      <c r="E723" s="1689" t="n"/>
      <c r="F723" s="1689" t="n"/>
      <c r="G723" s="1689" t="n"/>
      <c r="H723" s="1689" t="n"/>
    </row>
    <row r="724" ht="12.75" customHeight="1" s="862">
      <c r="A724" s="1690" t="n"/>
      <c r="B724" s="1687" t="n"/>
      <c r="C724" s="1688" t="n"/>
      <c r="D724" s="1689" t="n"/>
      <c r="E724" s="1689" t="n"/>
      <c r="F724" s="1689" t="n"/>
      <c r="G724" s="1689" t="n"/>
      <c r="H724" s="1689" t="n"/>
    </row>
    <row r="725" ht="12.75" customHeight="1" s="862">
      <c r="A725" s="1690" t="n"/>
      <c r="B725" s="1687" t="n"/>
      <c r="C725" s="1688" t="n"/>
      <c r="D725" s="1689" t="n"/>
      <c r="E725" s="1689" t="n"/>
      <c r="F725" s="1689" t="n"/>
      <c r="G725" s="1689" t="n"/>
      <c r="H725" s="1689" t="n"/>
    </row>
    <row r="726" ht="12.75" customHeight="1" s="862">
      <c r="A726" s="1690" t="n"/>
      <c r="B726" s="1687" t="n"/>
      <c r="C726" s="1688" t="n"/>
      <c r="D726" s="1689" t="n"/>
      <c r="E726" s="1689" t="n"/>
      <c r="F726" s="1689" t="n"/>
      <c r="G726" s="1689" t="n"/>
      <c r="H726" s="1689" t="n"/>
    </row>
    <row r="727" ht="12.75" customHeight="1" s="862">
      <c r="A727" s="1690" t="n"/>
      <c r="B727" s="1687" t="n"/>
      <c r="C727" s="1688" t="n"/>
      <c r="D727" s="1689" t="n"/>
      <c r="E727" s="1689" t="n"/>
      <c r="F727" s="1689" t="n"/>
      <c r="G727" s="1689" t="n"/>
      <c r="H727" s="1689" t="n"/>
    </row>
    <row r="728" ht="12.75" customHeight="1" s="862">
      <c r="A728" s="1690" t="n"/>
      <c r="B728" s="1687" t="n"/>
      <c r="C728" s="1688" t="n"/>
      <c r="D728" s="1689" t="n"/>
      <c r="E728" s="1689" t="n"/>
      <c r="F728" s="1689" t="n"/>
      <c r="G728" s="1689" t="n"/>
      <c r="H728" s="1689" t="n"/>
    </row>
    <row r="729" ht="12.75" customHeight="1" s="862">
      <c r="A729" s="1690" t="n"/>
      <c r="B729" s="1687" t="n"/>
      <c r="C729" s="1688" t="n"/>
      <c r="D729" s="1689" t="n"/>
      <c r="E729" s="1689" t="n"/>
      <c r="F729" s="1689" t="n"/>
      <c r="G729" s="1689" t="n"/>
      <c r="H729" s="1689" t="n"/>
    </row>
    <row r="730" ht="12.75" customHeight="1" s="862">
      <c r="A730" s="1690" t="n"/>
      <c r="B730" s="1687" t="n"/>
      <c r="C730" s="1688" t="n"/>
      <c r="D730" s="1689" t="n"/>
      <c r="E730" s="1689" t="n"/>
      <c r="F730" s="1689" t="n"/>
      <c r="G730" s="1689" t="n"/>
      <c r="H730" s="1689" t="n"/>
    </row>
    <row r="731" ht="12.75" customHeight="1" s="862">
      <c r="A731" s="1690" t="n"/>
      <c r="B731" s="1687" t="n"/>
      <c r="C731" s="1688" t="n"/>
      <c r="D731" s="1689" t="n"/>
      <c r="E731" s="1689" t="n"/>
      <c r="F731" s="1689" t="n"/>
      <c r="G731" s="1689" t="n"/>
      <c r="H731" s="1689" t="n"/>
    </row>
    <row r="732" ht="12.75" customHeight="1" s="862">
      <c r="A732" s="1690" t="n"/>
      <c r="B732" s="1687" t="n"/>
      <c r="C732" s="1688" t="n"/>
      <c r="D732" s="1689" t="n"/>
      <c r="E732" s="1689" t="n"/>
      <c r="F732" s="1689" t="n"/>
      <c r="G732" s="1689" t="n"/>
      <c r="H732" s="1689" t="n"/>
    </row>
    <row r="733" ht="12.75" customHeight="1" s="862">
      <c r="A733" s="1690" t="n"/>
      <c r="B733" s="1687" t="n"/>
      <c r="C733" s="1688" t="n"/>
      <c r="D733" s="1689" t="n"/>
      <c r="E733" s="1689" t="n"/>
      <c r="F733" s="1689" t="n"/>
      <c r="G733" s="1689" t="n"/>
      <c r="H733" s="1689" t="n"/>
    </row>
    <row r="734" ht="12.75" customHeight="1" s="862">
      <c r="A734" s="1690" t="n"/>
      <c r="B734" s="1687" t="n"/>
      <c r="C734" s="1688" t="n"/>
      <c r="D734" s="1689" t="n"/>
      <c r="E734" s="1689" t="n"/>
      <c r="F734" s="1689" t="n"/>
      <c r="G734" s="1689" t="n"/>
      <c r="H734" s="1689" t="n"/>
    </row>
    <row r="735" ht="12.75" customHeight="1" s="862">
      <c r="A735" s="1690" t="n"/>
      <c r="B735" s="1687" t="n"/>
      <c r="C735" s="1688" t="n"/>
      <c r="D735" s="1689" t="n"/>
      <c r="E735" s="1689" t="n"/>
      <c r="F735" s="1689" t="n"/>
      <c r="G735" s="1689" t="n"/>
      <c r="H735" s="1689" t="n"/>
    </row>
    <row r="736" ht="12.75" customHeight="1" s="862">
      <c r="A736" s="1690" t="n"/>
      <c r="B736" s="1687" t="n"/>
      <c r="C736" s="1688" t="n"/>
      <c r="D736" s="1689" t="n"/>
      <c r="E736" s="1689" t="n"/>
      <c r="F736" s="1689" t="n"/>
      <c r="G736" s="1689" t="n"/>
      <c r="H736" s="1689" t="n"/>
    </row>
    <row r="737" ht="12.75" customHeight="1" s="862">
      <c r="A737" s="1690" t="n"/>
      <c r="B737" s="1687" t="n"/>
      <c r="C737" s="1688" t="n"/>
      <c r="D737" s="1689" t="n"/>
      <c r="E737" s="1689" t="n"/>
      <c r="F737" s="1689" t="n"/>
      <c r="G737" s="1689" t="n"/>
      <c r="H737" s="1689" t="n"/>
    </row>
    <row r="738" ht="12.75" customHeight="1" s="862">
      <c r="A738" s="1690" t="n"/>
      <c r="B738" s="1687" t="n"/>
      <c r="C738" s="1688" t="n"/>
      <c r="D738" s="1689" t="n"/>
      <c r="E738" s="1689" t="n"/>
      <c r="F738" s="1689" t="n"/>
      <c r="G738" s="1689" t="n"/>
      <c r="H738" s="1689" t="n"/>
    </row>
    <row r="739" ht="12.75" customHeight="1" s="862">
      <c r="A739" s="1690" t="n"/>
      <c r="B739" s="1687" t="n"/>
      <c r="C739" s="1688" t="n"/>
      <c r="D739" s="1689" t="n"/>
      <c r="E739" s="1689" t="n"/>
      <c r="F739" s="1689" t="n"/>
      <c r="G739" s="1689" t="n"/>
      <c r="H739" s="1689" t="n"/>
    </row>
    <row r="740" ht="12.75" customHeight="1" s="862">
      <c r="A740" s="1690" t="n"/>
      <c r="B740" s="1687" t="n"/>
      <c r="C740" s="1688" t="n"/>
      <c r="D740" s="1689" t="n"/>
      <c r="E740" s="1689" t="n"/>
      <c r="F740" s="1689" t="n"/>
      <c r="G740" s="1689" t="n"/>
      <c r="H740" s="1689" t="n"/>
    </row>
    <row r="741" ht="12.75" customHeight="1" s="862">
      <c r="A741" s="1690" t="n"/>
      <c r="B741" s="1687" t="n"/>
      <c r="C741" s="1688" t="n"/>
      <c r="D741" s="1689" t="n"/>
      <c r="E741" s="1689" t="n"/>
      <c r="F741" s="1689" t="n"/>
      <c r="G741" s="1689" t="n"/>
      <c r="H741" s="1689" t="n"/>
    </row>
    <row r="742" ht="12.75" customHeight="1" s="862">
      <c r="A742" s="1690" t="n"/>
      <c r="B742" s="1687" t="n"/>
      <c r="C742" s="1688" t="n"/>
      <c r="D742" s="1689" t="n"/>
      <c r="E742" s="1689" t="n"/>
      <c r="F742" s="1689" t="n"/>
      <c r="G742" s="1689" t="n"/>
      <c r="H742" s="1689" t="n"/>
    </row>
    <row r="743" ht="12.75" customHeight="1" s="862">
      <c r="A743" s="1690" t="n"/>
      <c r="B743" s="1687" t="n"/>
      <c r="C743" s="1688" t="n"/>
      <c r="D743" s="1689" t="n"/>
      <c r="E743" s="1689" t="n"/>
      <c r="F743" s="1689" t="n"/>
      <c r="G743" s="1689" t="n"/>
      <c r="H743" s="1689" t="n"/>
    </row>
    <row r="744" ht="12.75" customHeight="1" s="862">
      <c r="A744" s="1690" t="n"/>
      <c r="B744" s="1687" t="n"/>
      <c r="C744" s="1688" t="n"/>
      <c r="D744" s="1689" t="n"/>
      <c r="E744" s="1689" t="n"/>
      <c r="F744" s="1689" t="n"/>
      <c r="G744" s="1689" t="n"/>
      <c r="H744" s="1689" t="n"/>
    </row>
    <row r="745" ht="12.75" customHeight="1" s="862">
      <c r="A745" s="1690" t="n"/>
      <c r="B745" s="1687" t="n"/>
      <c r="C745" s="1688" t="n"/>
      <c r="D745" s="1689" t="n"/>
      <c r="E745" s="1689" t="n"/>
      <c r="F745" s="1689" t="n"/>
      <c r="G745" s="1689" t="n"/>
      <c r="H745" s="1689" t="n"/>
    </row>
    <row r="746" ht="12.75" customHeight="1" s="862">
      <c r="A746" s="1690" t="n"/>
      <c r="B746" s="1687" t="n"/>
      <c r="C746" s="1688" t="n"/>
      <c r="D746" s="1689" t="n"/>
      <c r="E746" s="1689" t="n"/>
      <c r="F746" s="1689" t="n"/>
      <c r="G746" s="1689" t="n"/>
      <c r="H746" s="1689" t="n"/>
    </row>
    <row r="747" ht="12.75" customHeight="1" s="862">
      <c r="A747" s="1690" t="n"/>
      <c r="B747" s="1687" t="n"/>
      <c r="C747" s="1688" t="n"/>
      <c r="D747" s="1689" t="n"/>
      <c r="E747" s="1689" t="n"/>
      <c r="F747" s="1689" t="n"/>
      <c r="G747" s="1689" t="n"/>
      <c r="H747" s="1689" t="n"/>
    </row>
    <row r="748" ht="12.75" customHeight="1" s="862">
      <c r="A748" s="1690" t="n"/>
      <c r="B748" s="1687" t="n"/>
      <c r="C748" s="1688" t="n"/>
      <c r="D748" s="1689" t="n"/>
      <c r="E748" s="1689" t="n"/>
      <c r="F748" s="1689" t="n"/>
      <c r="G748" s="1689" t="n"/>
      <c r="H748" s="1689" t="n"/>
    </row>
    <row r="749" ht="12.75" customHeight="1" s="862">
      <c r="A749" s="1690" t="n"/>
      <c r="B749" s="1687" t="n"/>
      <c r="C749" s="1688" t="n"/>
      <c r="D749" s="1689" t="n"/>
      <c r="E749" s="1689" t="n"/>
      <c r="F749" s="1689" t="n"/>
      <c r="G749" s="1689" t="n"/>
      <c r="H749" s="1689" t="n"/>
    </row>
    <row r="750" ht="12.75" customHeight="1" s="862">
      <c r="A750" s="1690" t="n"/>
      <c r="B750" s="1687" t="n"/>
      <c r="C750" s="1688" t="n"/>
      <c r="D750" s="1689" t="n"/>
      <c r="E750" s="1689" t="n"/>
      <c r="F750" s="1689" t="n"/>
      <c r="G750" s="1689" t="n"/>
      <c r="H750" s="1689" t="n"/>
    </row>
    <row r="751" ht="12.75" customHeight="1" s="862">
      <c r="A751" s="1690" t="n"/>
      <c r="B751" s="1687" t="n"/>
      <c r="C751" s="1688" t="n"/>
      <c r="D751" s="1689" t="n"/>
      <c r="E751" s="1689" t="n"/>
      <c r="F751" s="1689" t="n"/>
      <c r="G751" s="1689" t="n"/>
      <c r="H751" s="1689" t="n"/>
    </row>
    <row r="752" ht="12.75" customHeight="1" s="862">
      <c r="A752" s="1690" t="n"/>
      <c r="B752" s="1687" t="n"/>
      <c r="C752" s="1688" t="n"/>
      <c r="D752" s="1689" t="n"/>
      <c r="E752" s="1689" t="n"/>
      <c r="F752" s="1689" t="n"/>
      <c r="G752" s="1689" t="n"/>
      <c r="H752" s="1689" t="n"/>
    </row>
    <row r="753" ht="12.75" customHeight="1" s="862">
      <c r="A753" s="1690" t="n"/>
      <c r="B753" s="1687" t="n"/>
      <c r="C753" s="1688" t="n"/>
      <c r="D753" s="1689" t="n"/>
      <c r="E753" s="1689" t="n"/>
      <c r="F753" s="1689" t="n"/>
      <c r="G753" s="1689" t="n"/>
      <c r="H753" s="1689" t="n"/>
    </row>
    <row r="754" ht="12.75" customHeight="1" s="862">
      <c r="A754" s="1690" t="n"/>
      <c r="B754" s="1687" t="n"/>
      <c r="C754" s="1688" t="n"/>
      <c r="D754" s="1689" t="n"/>
      <c r="E754" s="1689" t="n"/>
      <c r="F754" s="1689" t="n"/>
      <c r="G754" s="1689" t="n"/>
      <c r="H754" s="1689" t="n"/>
    </row>
    <row r="755" ht="12.75" customHeight="1" s="862">
      <c r="A755" s="1690" t="n"/>
      <c r="B755" s="1687" t="n"/>
      <c r="C755" s="1688" t="n"/>
      <c r="D755" s="1689" t="n"/>
      <c r="E755" s="1689" t="n"/>
      <c r="F755" s="1689" t="n"/>
      <c r="G755" s="1689" t="n"/>
      <c r="H755" s="1689" t="n"/>
    </row>
    <row r="756" ht="12.75" customHeight="1" s="862">
      <c r="A756" s="1690" t="n"/>
      <c r="B756" s="1687" t="n"/>
      <c r="C756" s="1688" t="n"/>
      <c r="D756" s="1689" t="n"/>
      <c r="E756" s="1689" t="n"/>
      <c r="F756" s="1689" t="n"/>
      <c r="G756" s="1689" t="n"/>
      <c r="H756" s="1689" t="n"/>
    </row>
    <row r="757" ht="12.75" customHeight="1" s="862">
      <c r="A757" s="1690" t="n"/>
      <c r="B757" s="1687" t="n"/>
      <c r="C757" s="1688" t="n"/>
      <c r="D757" s="1689" t="n"/>
      <c r="E757" s="1689" t="n"/>
      <c r="F757" s="1689" t="n"/>
      <c r="G757" s="1689" t="n"/>
      <c r="H757" s="1689" t="n"/>
    </row>
    <row r="758" ht="12.75" customHeight="1" s="862">
      <c r="A758" s="1690" t="n"/>
      <c r="B758" s="1687" t="n"/>
      <c r="C758" s="1688" t="n"/>
      <c r="D758" s="1689" t="n"/>
      <c r="E758" s="1689" t="n"/>
      <c r="F758" s="1689" t="n"/>
      <c r="G758" s="1689" t="n"/>
      <c r="H758" s="1689" t="n"/>
    </row>
    <row r="759" ht="12.75" customHeight="1" s="862">
      <c r="A759" s="1690" t="n"/>
      <c r="B759" s="1687" t="n"/>
      <c r="C759" s="1688" t="n"/>
      <c r="D759" s="1689" t="n"/>
      <c r="E759" s="1689" t="n"/>
      <c r="F759" s="1689" t="n"/>
      <c r="G759" s="1689" t="n"/>
      <c r="H759" s="1689" t="n"/>
    </row>
    <row r="760" ht="12.75" customHeight="1" s="862">
      <c r="A760" s="1690" t="n"/>
      <c r="B760" s="1687" t="n"/>
      <c r="C760" s="1688" t="n"/>
      <c r="D760" s="1689" t="n"/>
      <c r="E760" s="1689" t="n"/>
      <c r="F760" s="1689" t="n"/>
      <c r="G760" s="1689" t="n"/>
      <c r="H760" s="1689" t="n"/>
    </row>
    <row r="761" ht="12.75" customHeight="1" s="862">
      <c r="A761" s="1690" t="n"/>
      <c r="B761" s="1687" t="n"/>
      <c r="C761" s="1688" t="n"/>
      <c r="D761" s="1689" t="n"/>
      <c r="E761" s="1689" t="n"/>
      <c r="F761" s="1689" t="n"/>
      <c r="G761" s="1689" t="n"/>
      <c r="H761" s="1689" t="n"/>
    </row>
    <row r="762" ht="12.75" customHeight="1" s="862">
      <c r="A762" s="1690" t="n"/>
      <c r="B762" s="1687" t="n"/>
      <c r="C762" s="1688" t="n"/>
      <c r="D762" s="1689" t="n"/>
      <c r="E762" s="1689" t="n"/>
      <c r="F762" s="1689" t="n"/>
      <c r="G762" s="1689" t="n"/>
      <c r="H762" s="1689" t="n"/>
    </row>
    <row r="763" ht="12.75" customHeight="1" s="862">
      <c r="A763" s="1690" t="n"/>
      <c r="B763" s="1687" t="n"/>
      <c r="C763" s="1688" t="n"/>
      <c r="D763" s="1689" t="n"/>
      <c r="E763" s="1689" t="n"/>
      <c r="F763" s="1689" t="n"/>
      <c r="G763" s="1689" t="n"/>
      <c r="H763" s="1689" t="n"/>
    </row>
    <row r="764" ht="12.75" customHeight="1" s="862">
      <c r="A764" s="1690" t="n"/>
      <c r="B764" s="1687" t="n"/>
      <c r="C764" s="1688" t="n"/>
      <c r="D764" s="1689" t="n"/>
      <c r="E764" s="1689" t="n"/>
      <c r="F764" s="1689" t="n"/>
      <c r="G764" s="1689" t="n"/>
      <c r="H764" s="1689" t="n"/>
    </row>
    <row r="765" ht="12.75" customHeight="1" s="862">
      <c r="A765" s="1690" t="n"/>
      <c r="B765" s="1687" t="n"/>
      <c r="C765" s="1688" t="n"/>
      <c r="D765" s="1689" t="n"/>
      <c r="E765" s="1689" t="n"/>
      <c r="F765" s="1689" t="n"/>
      <c r="G765" s="1689" t="n"/>
      <c r="H765" s="1689" t="n"/>
    </row>
    <row r="766" ht="12.75" customHeight="1" s="862">
      <c r="A766" s="1690" t="n"/>
      <c r="B766" s="1687" t="n"/>
      <c r="C766" s="1688" t="n"/>
      <c r="D766" s="1689" t="n"/>
      <c r="E766" s="1689" t="n"/>
      <c r="F766" s="1689" t="n"/>
      <c r="G766" s="1689" t="n"/>
      <c r="H766" s="1689" t="n"/>
    </row>
    <row r="767" ht="12.75" customHeight="1" s="862">
      <c r="A767" s="1690" t="n"/>
      <c r="B767" s="1687" t="n"/>
      <c r="C767" s="1688" t="n"/>
      <c r="D767" s="1689" t="n"/>
      <c r="E767" s="1689" t="n"/>
      <c r="F767" s="1689" t="n"/>
      <c r="G767" s="1689" t="n"/>
      <c r="H767" s="1689" t="n"/>
    </row>
    <row r="768" ht="12.75" customHeight="1" s="862">
      <c r="A768" s="1690" t="n"/>
      <c r="B768" s="1687" t="n"/>
      <c r="C768" s="1688" t="n"/>
      <c r="D768" s="1689" t="n"/>
      <c r="E768" s="1689" t="n"/>
      <c r="F768" s="1689" t="n"/>
      <c r="G768" s="1689" t="n"/>
      <c r="H768" s="1689" t="n"/>
    </row>
    <row r="769" ht="12.75" customHeight="1" s="862">
      <c r="A769" s="1690" t="n"/>
      <c r="B769" s="1687" t="n"/>
      <c r="C769" s="1688" t="n"/>
      <c r="D769" s="1689" t="n"/>
      <c r="E769" s="1689" t="n"/>
      <c r="F769" s="1689" t="n"/>
      <c r="G769" s="1689" t="n"/>
      <c r="H769" s="1689" t="n"/>
    </row>
    <row r="770" ht="12.75" customHeight="1" s="862">
      <c r="A770" s="1690" t="n"/>
      <c r="B770" s="1687" t="n"/>
      <c r="C770" s="1688" t="n"/>
      <c r="D770" s="1689" t="n"/>
      <c r="E770" s="1689" t="n"/>
      <c r="F770" s="1689" t="n"/>
      <c r="G770" s="1689" t="n"/>
      <c r="H770" s="1689" t="n"/>
    </row>
    <row r="771" ht="12.75" customHeight="1" s="862">
      <c r="A771" s="1690" t="n"/>
      <c r="B771" s="1687" t="n"/>
      <c r="C771" s="1688" t="n"/>
      <c r="D771" s="1689" t="n"/>
      <c r="E771" s="1689" t="n"/>
      <c r="F771" s="1689" t="n"/>
      <c r="G771" s="1689" t="n"/>
      <c r="H771" s="1689" t="n"/>
    </row>
    <row r="772" ht="12.75" customHeight="1" s="862">
      <c r="A772" s="1690" t="n"/>
      <c r="B772" s="1687" t="n"/>
      <c r="C772" s="1688" t="n"/>
      <c r="D772" s="1689" t="n"/>
      <c r="E772" s="1689" t="n"/>
      <c r="F772" s="1689" t="n"/>
      <c r="G772" s="1689" t="n"/>
      <c r="H772" s="1689" t="n"/>
    </row>
    <row r="773" ht="12.75" customHeight="1" s="862">
      <c r="A773" s="1690" t="n"/>
      <c r="B773" s="1687" t="n"/>
      <c r="C773" s="1688" t="n"/>
      <c r="D773" s="1689" t="n"/>
      <c r="E773" s="1689" t="n"/>
      <c r="F773" s="1689" t="n"/>
      <c r="G773" s="1689" t="n"/>
      <c r="H773" s="1689" t="n"/>
    </row>
    <row r="774" ht="12.75" customHeight="1" s="862">
      <c r="A774" s="1690" t="n"/>
      <c r="B774" s="1687" t="n"/>
      <c r="C774" s="1688" t="n"/>
      <c r="D774" s="1689" t="n"/>
      <c r="E774" s="1689" t="n"/>
      <c r="F774" s="1689" t="n"/>
      <c r="G774" s="1689" t="n"/>
      <c r="H774" s="1689" t="n"/>
    </row>
    <row r="775" ht="12.75" customHeight="1" s="862">
      <c r="A775" s="1690" t="n"/>
      <c r="B775" s="1687" t="n"/>
      <c r="C775" s="1688" t="n"/>
      <c r="D775" s="1689" t="n"/>
      <c r="E775" s="1689" t="n"/>
      <c r="F775" s="1689" t="n"/>
      <c r="G775" s="1689" t="n"/>
      <c r="H775" s="1689" t="n"/>
    </row>
    <row r="776" ht="12.75" customHeight="1" s="862">
      <c r="A776" s="1690" t="n"/>
      <c r="B776" s="1687" t="n"/>
      <c r="C776" s="1688" t="n"/>
      <c r="D776" s="1689" t="n"/>
      <c r="E776" s="1689" t="n"/>
      <c r="F776" s="1689" t="n"/>
      <c r="G776" s="1689" t="n"/>
      <c r="H776" s="1689" t="n"/>
    </row>
    <row r="777" ht="12.75" customHeight="1" s="862">
      <c r="A777" s="1690" t="n"/>
      <c r="B777" s="1687" t="n"/>
      <c r="C777" s="1688" t="n"/>
      <c r="D777" s="1689" t="n"/>
      <c r="E777" s="1689" t="n"/>
      <c r="F777" s="1689" t="n"/>
      <c r="G777" s="1689" t="n"/>
      <c r="H777" s="1689" t="n"/>
    </row>
    <row r="778" ht="12.75" customHeight="1" s="862">
      <c r="A778" s="1690" t="n"/>
      <c r="B778" s="1687" t="n"/>
      <c r="C778" s="1688" t="n"/>
      <c r="D778" s="1689" t="n"/>
      <c r="E778" s="1689" t="n"/>
      <c r="F778" s="1689" t="n"/>
      <c r="G778" s="1689" t="n"/>
      <c r="H778" s="1689" t="n"/>
    </row>
    <row r="779" ht="12.75" customHeight="1" s="862">
      <c r="A779" s="1691" t="n"/>
      <c r="B779" s="1692" t="n"/>
      <c r="C779" s="1693" t="n"/>
      <c r="D779" s="1549" t="n"/>
      <c r="E779" s="1549" t="n"/>
      <c r="F779" s="1549" t="n"/>
      <c r="G779" s="1549" t="n"/>
      <c r="H779" s="1549" t="n"/>
    </row>
    <row r="780" ht="12.75" customHeight="1" s="862">
      <c r="A780" s="1691" t="n"/>
      <c r="B780" s="1692" t="n"/>
      <c r="C780" s="1693" t="n"/>
      <c r="D780" s="1549" t="n"/>
      <c r="E780" s="1549" t="n"/>
      <c r="F780" s="1549" t="n"/>
      <c r="G780" s="1549" t="n"/>
      <c r="H780" s="1549" t="n"/>
    </row>
    <row r="781" ht="12.75" customHeight="1" s="862">
      <c r="A781" s="1691" t="n"/>
      <c r="B781" s="1692" t="n"/>
      <c r="C781" s="1693" t="n"/>
      <c r="D781" s="1549" t="n"/>
      <c r="E781" s="1549" t="n"/>
      <c r="F781" s="1549" t="n"/>
      <c r="G781" s="1549" t="n"/>
      <c r="H781" s="1549" t="n"/>
    </row>
    <row r="782" ht="12.75" customHeight="1" s="862">
      <c r="A782" s="1691" t="n"/>
      <c r="B782" s="1692" t="n"/>
      <c r="C782" s="1693" t="n"/>
      <c r="D782" s="1549" t="n"/>
      <c r="E782" s="1549" t="n"/>
      <c r="F782" s="1549" t="n"/>
      <c r="G782" s="1549" t="n"/>
      <c r="H782" s="1549" t="n"/>
    </row>
    <row r="783" ht="12.75" customHeight="1" s="862">
      <c r="A783" s="1691" t="n"/>
      <c r="B783" s="1692" t="n"/>
      <c r="C783" s="1693" t="n"/>
      <c r="D783" s="1549" t="n"/>
      <c r="E783" s="1549" t="n"/>
      <c r="F783" s="1549" t="n"/>
      <c r="G783" s="1549" t="n"/>
      <c r="H783" s="1549" t="n"/>
    </row>
    <row r="784" ht="12.75" customHeight="1" s="862">
      <c r="A784" s="1691" t="n"/>
      <c r="B784" s="1692" t="n"/>
      <c r="C784" s="1693" t="n"/>
      <c r="D784" s="1549" t="n"/>
      <c r="E784" s="1549" t="n"/>
      <c r="F784" s="1549" t="n"/>
      <c r="G784" s="1549" t="n"/>
      <c r="H784" s="1549" t="n"/>
    </row>
    <row r="785" ht="12.75" customHeight="1" s="862">
      <c r="A785" s="1691" t="n"/>
      <c r="B785" s="1692" t="n"/>
      <c r="C785" s="1693" t="n"/>
      <c r="D785" s="1549" t="n"/>
      <c r="E785" s="1549" t="n"/>
      <c r="F785" s="1549" t="n"/>
      <c r="G785" s="1549" t="n"/>
      <c r="H785" s="1549" t="n"/>
    </row>
    <row r="786" ht="12.75" customHeight="1" s="862">
      <c r="A786" s="1691" t="n"/>
      <c r="B786" s="1692" t="n"/>
      <c r="C786" s="1693" t="n"/>
      <c r="D786" s="1549" t="n"/>
      <c r="E786" s="1549" t="n"/>
      <c r="F786" s="1549" t="n"/>
      <c r="G786" s="1549" t="n"/>
      <c r="H786" s="1549" t="n"/>
    </row>
    <row r="787" ht="12.75" customHeight="1" s="862">
      <c r="A787" s="1691" t="n"/>
      <c r="B787" s="1692" t="n"/>
      <c r="C787" s="1693" t="n"/>
      <c r="D787" s="1549" t="n"/>
      <c r="E787" s="1549" t="n"/>
      <c r="F787" s="1549" t="n"/>
      <c r="G787" s="1549" t="n"/>
      <c r="H787" s="1549" t="n"/>
    </row>
    <row r="788" ht="12.75" customHeight="1" s="862">
      <c r="A788" s="1691" t="n"/>
      <c r="B788" s="1692" t="n"/>
      <c r="C788" s="1693" t="n"/>
      <c r="D788" s="1549" t="n"/>
      <c r="E788" s="1549" t="n"/>
      <c r="F788" s="1549" t="n"/>
      <c r="G788" s="1549" t="n"/>
      <c r="H788" s="1549" t="n"/>
    </row>
    <row r="789" ht="12.75" customHeight="1" s="862">
      <c r="A789" s="1691" t="n"/>
      <c r="B789" s="1692" t="n"/>
      <c r="C789" s="1693" t="n"/>
      <c r="D789" s="1549" t="n"/>
      <c r="E789" s="1549" t="n"/>
      <c r="F789" s="1549" t="n"/>
      <c r="G789" s="1549" t="n"/>
      <c r="H789" s="1549" t="n"/>
    </row>
    <row r="790" ht="12.75" customHeight="1" s="862">
      <c r="A790" s="1691" t="n"/>
      <c r="B790" s="1692" t="n"/>
      <c r="C790" s="1693" t="n"/>
      <c r="D790" s="1549" t="n"/>
      <c r="E790" s="1549" t="n"/>
      <c r="F790" s="1549" t="n"/>
      <c r="G790" s="1549" t="n"/>
      <c r="H790" s="1549" t="n"/>
    </row>
    <row r="791" ht="12.75" customHeight="1" s="862">
      <c r="A791" s="1691" t="n"/>
      <c r="B791" s="1692" t="n"/>
      <c r="C791" s="1693" t="n"/>
      <c r="D791" s="1549" t="n"/>
      <c r="E791" s="1549" t="n"/>
      <c r="F791" s="1549" t="n"/>
      <c r="G791" s="1549" t="n"/>
      <c r="H791" s="1549" t="n"/>
    </row>
    <row r="792" ht="12.75" customHeight="1" s="862">
      <c r="A792" s="1691" t="n"/>
      <c r="B792" s="1692" t="n"/>
      <c r="C792" s="1693" t="n"/>
      <c r="D792" s="1549" t="n"/>
      <c r="E792" s="1549" t="n"/>
      <c r="F792" s="1549" t="n"/>
      <c r="G792" s="1549" t="n"/>
      <c r="H792" s="1549" t="n"/>
    </row>
    <row r="793" ht="12.75" customHeight="1" s="862">
      <c r="A793" s="1691" t="n"/>
      <c r="B793" s="1692" t="n"/>
      <c r="C793" s="1693" t="n"/>
      <c r="D793" s="1549" t="n"/>
      <c r="E793" s="1549" t="n"/>
      <c r="F793" s="1549" t="n"/>
      <c r="G793" s="1549" t="n"/>
      <c r="H793" s="1549" t="n"/>
    </row>
    <row r="794" ht="12.75" customHeight="1" s="862">
      <c r="A794" s="1691" t="n"/>
      <c r="B794" s="1692" t="n"/>
      <c r="C794" s="1693" t="n"/>
      <c r="D794" s="1549" t="n"/>
      <c r="E794" s="1549" t="n"/>
      <c r="F794" s="1549" t="n"/>
      <c r="G794" s="1549" t="n"/>
      <c r="H794" s="1549" t="n"/>
    </row>
    <row r="795" ht="12.75" customHeight="1" s="862">
      <c r="A795" s="1691" t="n"/>
      <c r="B795" s="1692" t="n"/>
      <c r="C795" s="1693" t="n"/>
      <c r="D795" s="1549" t="n"/>
      <c r="E795" s="1549" t="n"/>
      <c r="F795" s="1549" t="n"/>
      <c r="G795" s="1549" t="n"/>
      <c r="H795" s="1549" t="n"/>
    </row>
    <row r="796" ht="12.75" customHeight="1" s="862">
      <c r="A796" s="1691" t="n"/>
      <c r="B796" s="1692" t="n"/>
      <c r="C796" s="1693" t="n"/>
      <c r="D796" s="1549" t="n"/>
      <c r="E796" s="1549" t="n"/>
      <c r="F796" s="1549" t="n"/>
      <c r="G796" s="1549" t="n"/>
      <c r="H796" s="1549" t="n"/>
    </row>
    <row r="797" ht="12.75" customHeight="1" s="862">
      <c r="A797" s="1691" t="n"/>
      <c r="B797" s="1692" t="n"/>
      <c r="C797" s="1693" t="n"/>
      <c r="D797" s="1549" t="n"/>
      <c r="E797" s="1549" t="n"/>
      <c r="F797" s="1549" t="n"/>
      <c r="G797" s="1549" t="n"/>
      <c r="H797" s="1549" t="n"/>
    </row>
    <row r="798" ht="12.75" customHeight="1" s="862">
      <c r="A798" s="1691" t="n"/>
      <c r="B798" s="1692" t="n"/>
      <c r="C798" s="1693" t="n"/>
      <c r="D798" s="1549" t="n"/>
      <c r="E798" s="1549" t="n"/>
      <c r="F798" s="1549" t="n"/>
      <c r="G798" s="1549" t="n"/>
      <c r="H798" s="1549" t="n"/>
    </row>
    <row r="799" ht="12.75" customHeight="1" s="862">
      <c r="A799" s="1691" t="n"/>
      <c r="B799" s="1692" t="n"/>
      <c r="C799" s="1693" t="n"/>
      <c r="D799" s="1549" t="n"/>
      <c r="E799" s="1549" t="n"/>
      <c r="F799" s="1549" t="n"/>
      <c r="G799" s="1549" t="n"/>
      <c r="H799" s="1549" t="n"/>
    </row>
    <row r="800" ht="12.75" customHeight="1" s="862">
      <c r="A800" s="1691" t="n"/>
      <c r="B800" s="1692" t="n"/>
      <c r="C800" s="1693" t="n"/>
      <c r="D800" s="1549" t="n"/>
      <c r="E800" s="1549" t="n"/>
      <c r="F800" s="1549" t="n"/>
      <c r="G800" s="1549" t="n"/>
      <c r="H800" s="1549" t="n"/>
    </row>
    <row r="801" ht="12.75" customHeight="1" s="862">
      <c r="A801" s="1691" t="n"/>
      <c r="B801" s="1692" t="n"/>
      <c r="C801" s="1693" t="n"/>
      <c r="D801" s="1549" t="n"/>
      <c r="E801" s="1549" t="n"/>
      <c r="F801" s="1549" t="n"/>
      <c r="G801" s="1549" t="n"/>
      <c r="H801" s="1549" t="n"/>
    </row>
    <row r="802" ht="12.75" customHeight="1" s="862">
      <c r="A802" s="1691" t="n"/>
      <c r="B802" s="1692" t="n"/>
      <c r="C802" s="1693" t="n"/>
      <c r="D802" s="1549" t="n"/>
      <c r="E802" s="1549" t="n"/>
      <c r="F802" s="1549" t="n"/>
      <c r="G802" s="1549" t="n"/>
      <c r="H802" s="1549" t="n"/>
    </row>
    <row r="803" ht="12.75" customHeight="1" s="862">
      <c r="A803" s="1691" t="n"/>
      <c r="B803" s="1692" t="n"/>
      <c r="C803" s="1693" t="n"/>
      <c r="D803" s="1549" t="n"/>
      <c r="E803" s="1549" t="n"/>
      <c r="F803" s="1549" t="n"/>
      <c r="G803" s="1549" t="n"/>
      <c r="H803" s="1549" t="n"/>
    </row>
    <row r="804" ht="12.75" customHeight="1" s="862">
      <c r="A804" s="1691" t="n"/>
      <c r="B804" s="1692" t="n"/>
      <c r="C804" s="1693" t="n"/>
      <c r="D804" s="1549" t="n"/>
      <c r="E804" s="1549" t="n"/>
      <c r="F804" s="1549" t="n"/>
      <c r="G804" s="1549" t="n"/>
      <c r="H804" s="1549" t="n"/>
    </row>
    <row r="805" ht="12.75" customHeight="1" s="862">
      <c r="A805" s="1691" t="n"/>
      <c r="B805" s="1692" t="n"/>
      <c r="C805" s="1693" t="n"/>
      <c r="D805" s="1549" t="n"/>
      <c r="E805" s="1549" t="n"/>
      <c r="F805" s="1549" t="n"/>
      <c r="G805" s="1549" t="n"/>
      <c r="H805" s="1549" t="n"/>
    </row>
    <row r="806" ht="12.75" customHeight="1" s="862">
      <c r="A806" s="1691" t="n"/>
      <c r="B806" s="1692" t="n"/>
      <c r="C806" s="1693" t="n"/>
      <c r="D806" s="1549" t="n"/>
      <c r="E806" s="1549" t="n"/>
      <c r="F806" s="1549" t="n"/>
      <c r="G806" s="1549" t="n"/>
      <c r="H806" s="1549" t="n"/>
    </row>
    <row r="807" ht="12.75" customHeight="1" s="862">
      <c r="A807" s="1691" t="n"/>
      <c r="B807" s="1692" t="n"/>
      <c r="C807" s="1693" t="n"/>
      <c r="D807" s="1549" t="n"/>
      <c r="E807" s="1549" t="n"/>
      <c r="F807" s="1549" t="n"/>
      <c r="G807" s="1549" t="n"/>
      <c r="H807" s="1549" t="n"/>
    </row>
    <row r="808" ht="12.75" customHeight="1" s="862">
      <c r="A808" s="1691" t="n"/>
      <c r="B808" s="1692" t="n"/>
      <c r="C808" s="1693" t="n"/>
      <c r="D808" s="1549" t="n"/>
      <c r="E808" s="1549" t="n"/>
      <c r="F808" s="1549" t="n"/>
      <c r="G808" s="1549" t="n"/>
      <c r="H808" s="1549" t="n"/>
    </row>
    <row r="809" ht="12.75" customHeight="1" s="862">
      <c r="A809" s="1691" t="n"/>
      <c r="B809" s="1692" t="n"/>
      <c r="C809" s="1693" t="n"/>
      <c r="D809" s="1549" t="n"/>
      <c r="E809" s="1549" t="n"/>
      <c r="F809" s="1549" t="n"/>
      <c r="G809" s="1549" t="n"/>
      <c r="H809" s="1549" t="n"/>
    </row>
    <row r="810" ht="12.75" customHeight="1" s="862">
      <c r="A810" s="1691" t="n"/>
      <c r="B810" s="1692" t="n"/>
      <c r="C810" s="1693" t="n"/>
      <c r="D810" s="1549" t="n"/>
      <c r="E810" s="1549" t="n"/>
      <c r="F810" s="1549" t="n"/>
      <c r="G810" s="1549" t="n"/>
      <c r="H810" s="1549" t="n"/>
    </row>
    <row r="811" ht="12.75" customHeight="1" s="862">
      <c r="A811" s="1691" t="n"/>
      <c r="B811" s="1692" t="n"/>
      <c r="C811" s="1693" t="n"/>
      <c r="D811" s="1549" t="n"/>
      <c r="E811" s="1549" t="n"/>
      <c r="F811" s="1549" t="n"/>
      <c r="G811" s="1549" t="n"/>
      <c r="H811" s="1549" t="n"/>
    </row>
    <row r="812" ht="12.75" customHeight="1" s="862">
      <c r="A812" s="1691" t="n"/>
      <c r="B812" s="1692" t="n"/>
      <c r="C812" s="1693" t="n"/>
      <c r="D812" s="1549" t="n"/>
      <c r="E812" s="1549" t="n"/>
      <c r="F812" s="1549" t="n"/>
      <c r="G812" s="1549" t="n"/>
      <c r="H812" s="1549" t="n"/>
    </row>
    <row r="813" ht="12.75" customHeight="1" s="862">
      <c r="A813" s="1691" t="n"/>
      <c r="B813" s="1692" t="n"/>
      <c r="C813" s="1693" t="n"/>
      <c r="D813" s="1549" t="n"/>
      <c r="E813" s="1549" t="n"/>
      <c r="F813" s="1549" t="n"/>
      <c r="G813" s="1549" t="n"/>
      <c r="H813" s="1549" t="n"/>
    </row>
    <row r="814" ht="12.75" customHeight="1" s="862">
      <c r="A814" s="1691" t="n"/>
      <c r="B814" s="1692" t="n"/>
      <c r="C814" s="1693" t="n"/>
      <c r="D814" s="1549" t="n"/>
      <c r="E814" s="1549" t="n"/>
      <c r="F814" s="1549" t="n"/>
      <c r="G814" s="1549" t="n"/>
      <c r="H814" s="1549" t="n"/>
    </row>
    <row r="815" ht="12.75" customHeight="1" s="862">
      <c r="A815" s="1691" t="n"/>
      <c r="B815" s="1692" t="n"/>
      <c r="C815" s="1693" t="n"/>
      <c r="D815" s="1549" t="n"/>
      <c r="E815" s="1549" t="n"/>
      <c r="F815" s="1549" t="n"/>
      <c r="G815" s="1549" t="n"/>
      <c r="H815" s="1549" t="n"/>
    </row>
    <row r="816" ht="12.75" customHeight="1" s="862">
      <c r="A816" s="1691" t="n"/>
      <c r="B816" s="1692" t="n"/>
      <c r="C816" s="1693" t="n"/>
      <c r="D816" s="1549" t="n"/>
      <c r="E816" s="1549" t="n"/>
      <c r="F816" s="1549" t="n"/>
      <c r="G816" s="1549" t="n"/>
      <c r="H816" s="1549" t="n"/>
    </row>
    <row r="817" ht="12.75" customHeight="1" s="862">
      <c r="A817" s="1691" t="n"/>
      <c r="B817" s="1692" t="n"/>
      <c r="C817" s="1693" t="n"/>
      <c r="D817" s="1549" t="n"/>
      <c r="E817" s="1549" t="n"/>
      <c r="F817" s="1549" t="n"/>
      <c r="G817" s="1549" t="n"/>
      <c r="H817" s="1549" t="n"/>
    </row>
    <row r="818" ht="12.75" customHeight="1" s="862">
      <c r="A818" s="1691" t="n"/>
      <c r="B818" s="1692" t="n"/>
      <c r="C818" s="1693" t="n"/>
      <c r="D818" s="1549" t="n"/>
      <c r="E818" s="1549" t="n"/>
      <c r="F818" s="1549" t="n"/>
      <c r="G818" s="1549" t="n"/>
      <c r="H818" s="1549" t="n"/>
    </row>
    <row r="819" ht="12.75" customHeight="1" s="862">
      <c r="A819" s="1691" t="n"/>
      <c r="B819" s="1692" t="n"/>
      <c r="C819" s="1693" t="n"/>
      <c r="D819" s="1549" t="n"/>
      <c r="E819" s="1549" t="n"/>
      <c r="F819" s="1549" t="n"/>
      <c r="G819" s="1549" t="n"/>
      <c r="H819" s="1549" t="n"/>
    </row>
    <row r="820" ht="12.75" customHeight="1" s="862">
      <c r="A820" s="1691" t="n"/>
      <c r="B820" s="1692" t="n"/>
      <c r="C820" s="1693" t="n"/>
      <c r="D820" s="1549" t="n"/>
      <c r="E820" s="1549" t="n"/>
      <c r="F820" s="1549" t="n"/>
      <c r="G820" s="1549" t="n"/>
      <c r="H820" s="1549" t="n"/>
    </row>
    <row r="821" ht="12.75" customHeight="1" s="862">
      <c r="A821" s="1691" t="n"/>
      <c r="B821" s="1692" t="n"/>
      <c r="C821" s="1693" t="n"/>
      <c r="D821" s="1549" t="n"/>
      <c r="E821" s="1549" t="n"/>
      <c r="F821" s="1549" t="n"/>
      <c r="G821" s="1549" t="n"/>
      <c r="H821" s="1549" t="n"/>
    </row>
    <row r="822" ht="12.75" customHeight="1" s="862">
      <c r="A822" s="1691" t="n"/>
      <c r="B822" s="1692" t="n"/>
      <c r="C822" s="1693" t="n"/>
      <c r="D822" s="1549" t="n"/>
      <c r="E822" s="1549" t="n"/>
      <c r="F822" s="1549" t="n"/>
      <c r="G822" s="1549" t="n"/>
      <c r="H822" s="1549" t="n"/>
    </row>
    <row r="823" ht="12.75" customHeight="1" s="862">
      <c r="A823" s="1694" t="n"/>
    </row>
    <row r="824" ht="12.75" customHeight="1" s="862">
      <c r="A824" s="1694" t="n"/>
    </row>
    <row r="825" ht="12.75" customHeight="1" s="862">
      <c r="A825" s="1694" t="n"/>
    </row>
    <row r="826" ht="12.75" customHeight="1" s="862">
      <c r="A826" s="1694" t="n"/>
    </row>
    <row r="827" ht="12.75" customHeight="1" s="862">
      <c r="A827" s="1694" t="n"/>
    </row>
    <row r="828" ht="12.75" customHeight="1" s="862">
      <c r="A828" s="1694" t="n"/>
    </row>
    <row r="829" ht="12.75" customHeight="1" s="862">
      <c r="A829" s="1694" t="n"/>
    </row>
    <row r="830" ht="12.75" customHeight="1" s="862">
      <c r="A830" s="1694" t="n"/>
    </row>
    <row r="831" ht="12.75" customHeight="1" s="862">
      <c r="A831" s="1694" t="n"/>
    </row>
    <row r="832" ht="12.75" customHeight="1" s="862">
      <c r="A832" s="1694" t="n"/>
    </row>
    <row r="833" ht="12.75" customFormat="1" customHeight="1" s="1695">
      <c r="A833" s="1694" t="n"/>
      <c r="B833" s="1481" t="n"/>
      <c r="C833" s="1481" t="n"/>
    </row>
    <row r="834" ht="12.75" customFormat="1" customHeight="1" s="1695">
      <c r="A834" s="1694" t="n"/>
      <c r="B834" s="1481" t="n"/>
      <c r="C834" s="1481" t="n"/>
    </row>
    <row r="835" ht="12.75" customFormat="1" customHeight="1" s="1695">
      <c r="A835" s="1694" t="n"/>
      <c r="B835" s="1481" t="n"/>
      <c r="C835" s="1481" t="n"/>
    </row>
    <row r="836" ht="12.75" customFormat="1" customHeight="1" s="1695">
      <c r="A836" s="1694" t="n"/>
      <c r="B836" s="1481" t="n"/>
      <c r="C836" s="1481" t="n"/>
    </row>
    <row r="837" ht="12.75" customFormat="1" customHeight="1" s="1695">
      <c r="A837" s="1694" t="n"/>
      <c r="B837" s="1481" t="n"/>
      <c r="C837" s="1481" t="n"/>
    </row>
    <row r="838" ht="12.75" customFormat="1" customHeight="1" s="1695">
      <c r="A838" s="1694" t="n"/>
      <c r="B838" s="1481" t="n"/>
      <c r="C838" s="1481" t="n"/>
    </row>
    <row r="839" ht="12.75" customFormat="1" customHeight="1" s="1695">
      <c r="A839" s="1694" t="n"/>
      <c r="B839" s="1481" t="n"/>
      <c r="C839" s="1481" t="n"/>
    </row>
    <row r="840" ht="12.75" customFormat="1" customHeight="1" s="1695">
      <c r="A840" s="1694" t="n"/>
      <c r="B840" s="1481" t="n"/>
      <c r="C840" s="1481" t="n"/>
    </row>
    <row r="841" ht="12.75" customFormat="1" customHeight="1" s="1695">
      <c r="A841" s="1694" t="n"/>
      <c r="B841" s="1481" t="n"/>
      <c r="C841" s="1481" t="n"/>
    </row>
    <row r="842" ht="12.75" customFormat="1" customHeight="1" s="1695">
      <c r="A842" s="1694" t="n"/>
      <c r="B842" s="1481" t="n"/>
      <c r="C842" s="1481" t="n"/>
    </row>
    <row r="843" ht="12.75" customFormat="1" customHeight="1" s="1695">
      <c r="A843" s="1694" t="n"/>
      <c r="B843" s="1481" t="n"/>
      <c r="C843" s="1481" t="n"/>
    </row>
    <row r="844" ht="12.75" customFormat="1" customHeight="1" s="1695">
      <c r="A844" s="1694" t="n"/>
      <c r="B844" s="1481" t="n"/>
      <c r="C844" s="1481" t="n"/>
    </row>
    <row r="845" ht="12.75" customFormat="1" customHeight="1" s="1695">
      <c r="A845" s="1694" t="n"/>
      <c r="B845" s="1481" t="n"/>
      <c r="C845" s="1481" t="n"/>
    </row>
    <row r="846" ht="12.75" customFormat="1" customHeight="1" s="1695">
      <c r="A846" s="1694" t="n"/>
      <c r="B846" s="1481" t="n"/>
      <c r="C846" s="1481" t="n"/>
    </row>
    <row r="847" ht="12.75" customFormat="1" customHeight="1" s="1695">
      <c r="A847" s="1694" t="n"/>
      <c r="B847" s="1481" t="n"/>
      <c r="C847" s="1481" t="n"/>
    </row>
    <row r="848" ht="12.75" customFormat="1" customHeight="1" s="1695">
      <c r="A848" s="1694" t="n"/>
      <c r="B848" s="1481" t="n"/>
      <c r="C848" s="1481" t="n"/>
    </row>
    <row r="849" ht="12.75" customFormat="1" customHeight="1" s="1695">
      <c r="A849" s="1694" t="n"/>
      <c r="B849" s="1481" t="n"/>
      <c r="C849" s="1481" t="n"/>
    </row>
    <row r="850" ht="12.75" customFormat="1" customHeight="1" s="1695">
      <c r="A850" s="1694" t="n"/>
      <c r="B850" s="1481" t="n"/>
      <c r="C850" s="1481" t="n"/>
    </row>
    <row r="851" ht="12.75" customFormat="1" customHeight="1" s="1695">
      <c r="A851" s="1694" t="n"/>
      <c r="B851" s="1481" t="n"/>
      <c r="C851" s="1481" t="n"/>
    </row>
    <row r="852" ht="12.75" customFormat="1" customHeight="1" s="1695">
      <c r="A852" s="1694" t="n"/>
      <c r="B852" s="1481" t="n"/>
      <c r="C852" s="1481" t="n"/>
    </row>
    <row r="853" ht="12.75" customFormat="1" customHeight="1" s="1695">
      <c r="A853" s="1694" t="n"/>
      <c r="B853" s="1481" t="n"/>
      <c r="C853" s="1481" t="n"/>
    </row>
    <row r="854" ht="12.75" customFormat="1" customHeight="1" s="1695">
      <c r="A854" s="1694" t="n"/>
      <c r="B854" s="1481" t="n"/>
      <c r="C854" s="1481" t="n"/>
    </row>
    <row r="855" ht="12.75" customFormat="1" customHeight="1" s="1695">
      <c r="A855" s="1694" t="n"/>
      <c r="B855" s="1481" t="n"/>
      <c r="C855" s="1481" t="n"/>
    </row>
    <row r="856" ht="12.75" customFormat="1" customHeight="1" s="1695">
      <c r="A856" s="1694" t="n"/>
      <c r="B856" s="1481" t="n"/>
      <c r="C856" s="1481" t="n"/>
    </row>
    <row r="857" ht="12.75" customFormat="1" customHeight="1" s="1695">
      <c r="A857" s="1694" t="n"/>
      <c r="B857" s="1481" t="n"/>
      <c r="C857" s="1481" t="n"/>
    </row>
    <row r="858" ht="12.75" customFormat="1" customHeight="1" s="1695">
      <c r="A858" s="1694" t="n"/>
      <c r="B858" s="1481" t="n"/>
      <c r="C858" s="1481" t="n"/>
    </row>
    <row r="859" ht="12.75" customFormat="1" customHeight="1" s="1695">
      <c r="A859" s="1694" t="n"/>
      <c r="B859" s="1481" t="n"/>
      <c r="C859" s="1481" t="n"/>
    </row>
    <row r="860" ht="12.75" customFormat="1" customHeight="1" s="1695">
      <c r="A860" s="1694" t="n"/>
      <c r="B860" s="1481" t="n"/>
      <c r="C860" s="1481" t="n"/>
    </row>
    <row r="861" ht="12.75" customFormat="1" customHeight="1" s="1695">
      <c r="A861" s="1694" t="n"/>
      <c r="B861" s="1481" t="n"/>
      <c r="C861" s="1481" t="n"/>
    </row>
    <row r="862" ht="12.75" customFormat="1" customHeight="1" s="1695">
      <c r="A862" s="1694" t="n"/>
      <c r="B862" s="1481" t="n"/>
      <c r="C862" s="1481" t="n"/>
    </row>
    <row r="863" ht="12.75" customFormat="1" customHeight="1" s="1695">
      <c r="A863" s="1694" t="n"/>
      <c r="B863" s="1481" t="n"/>
      <c r="C863" s="1481" t="n"/>
    </row>
    <row r="864" ht="12.75" customFormat="1" customHeight="1" s="1695">
      <c r="A864" s="1694" t="n"/>
      <c r="B864" s="1481" t="n"/>
      <c r="C864" s="1481" t="n"/>
    </row>
    <row r="865" ht="12.75" customFormat="1" customHeight="1" s="1695">
      <c r="A865" s="1694" t="n"/>
      <c r="B865" s="1481" t="n"/>
      <c r="C865" s="1481" t="n"/>
    </row>
    <row r="866" ht="12.75" customFormat="1" customHeight="1" s="1695">
      <c r="A866" s="1694" t="n"/>
      <c r="B866" s="1481" t="n"/>
      <c r="C866" s="1481" t="n"/>
    </row>
    <row r="867" ht="12.75" customFormat="1" customHeight="1" s="1695">
      <c r="A867" s="1694" t="n"/>
      <c r="B867" s="1481" t="n"/>
      <c r="C867" s="1481" t="n"/>
    </row>
    <row r="868" ht="12.75" customFormat="1" customHeight="1" s="1695">
      <c r="A868" s="1694" t="n"/>
      <c r="B868" s="1481" t="n"/>
      <c r="C868" s="1481" t="n"/>
    </row>
    <row r="869" ht="12.75" customFormat="1" customHeight="1" s="1695">
      <c r="A869" s="1694" t="n"/>
      <c r="B869" s="1481" t="n"/>
      <c r="C869" s="1481" t="n"/>
    </row>
    <row r="870" ht="12.75" customFormat="1" customHeight="1" s="1695">
      <c r="A870" s="1694" t="n"/>
      <c r="B870" s="1481" t="n"/>
      <c r="C870" s="1481" t="n"/>
    </row>
    <row r="871" ht="12.75" customFormat="1" customHeight="1" s="1695">
      <c r="A871" s="1694" t="n"/>
      <c r="B871" s="1481" t="n"/>
      <c r="C871" s="1481" t="n"/>
    </row>
    <row r="872" ht="12.75" customFormat="1" customHeight="1" s="1695">
      <c r="A872" s="1694" t="n"/>
      <c r="B872" s="1481" t="n"/>
      <c r="C872" s="1481" t="n"/>
    </row>
    <row r="873" ht="12.75" customFormat="1" customHeight="1" s="1695">
      <c r="A873" s="1694" t="n"/>
      <c r="B873" s="1481" t="n"/>
      <c r="C873" s="1481" t="n"/>
    </row>
    <row r="874" ht="12.75" customFormat="1" customHeight="1" s="1695">
      <c r="A874" s="1694" t="n"/>
      <c r="B874" s="1481" t="n"/>
      <c r="C874" s="1481" t="n"/>
    </row>
    <row r="875" ht="12.75" customFormat="1" customHeight="1" s="1695">
      <c r="A875" s="1694" t="n"/>
      <c r="B875" s="1481" t="n"/>
      <c r="C875" s="1481" t="n"/>
    </row>
    <row r="876" ht="12.75" customFormat="1" customHeight="1" s="1695">
      <c r="A876" s="1694" t="n"/>
      <c r="B876" s="1481" t="n"/>
      <c r="C876" s="1481" t="n"/>
    </row>
    <row r="877" ht="12.75" customFormat="1" customHeight="1" s="1695">
      <c r="A877" s="1694" t="n"/>
      <c r="B877" s="1481" t="n"/>
      <c r="C877" s="1481" t="n"/>
    </row>
    <row r="878" ht="12.75" customFormat="1" customHeight="1" s="1695">
      <c r="A878" s="1694" t="n"/>
      <c r="B878" s="1481" t="n"/>
      <c r="C878" s="1481" t="n"/>
    </row>
    <row r="879" ht="12.75" customFormat="1" customHeight="1" s="1695">
      <c r="A879" s="1694" t="n"/>
      <c r="B879" s="1481" t="n"/>
      <c r="C879" s="1481" t="n"/>
    </row>
    <row r="880" ht="12.75" customFormat="1" customHeight="1" s="1695">
      <c r="A880" s="1694" t="n"/>
      <c r="B880" s="1481" t="n"/>
      <c r="C880" s="1481" t="n"/>
    </row>
    <row r="881" ht="12.75" customFormat="1" customHeight="1" s="1695">
      <c r="A881" s="1694" t="n"/>
      <c r="B881" s="1481" t="n"/>
      <c r="C881" s="1481" t="n"/>
    </row>
    <row r="882" ht="12.75" customFormat="1" customHeight="1" s="1695">
      <c r="A882" s="1694" t="n"/>
      <c r="B882" s="1481" t="n"/>
      <c r="C882" s="1481" t="n"/>
    </row>
    <row r="883" ht="12.75" customFormat="1" customHeight="1" s="1695">
      <c r="A883" s="1694" t="n"/>
      <c r="B883" s="1481" t="n"/>
      <c r="C883" s="1481" t="n"/>
    </row>
    <row r="884" ht="12.75" customFormat="1" customHeight="1" s="1695">
      <c r="A884" s="1694" t="n"/>
      <c r="B884" s="1481" t="n"/>
      <c r="C884" s="1481" t="n"/>
    </row>
    <row r="885" ht="12.75" customFormat="1" customHeight="1" s="1695">
      <c r="A885" s="1694" t="n"/>
      <c r="B885" s="1481" t="n"/>
      <c r="C885" s="1481" t="n"/>
    </row>
    <row r="886" ht="12.75" customFormat="1" customHeight="1" s="1695">
      <c r="A886" s="1694" t="n"/>
      <c r="B886" s="1481" t="n"/>
      <c r="C886" s="1481" t="n"/>
    </row>
    <row r="887" ht="12.75" customFormat="1" customHeight="1" s="1695">
      <c r="A887" s="1694" t="n"/>
      <c r="B887" s="1481" t="n"/>
      <c r="C887" s="1481" t="n"/>
    </row>
    <row r="888" ht="12.75" customFormat="1" customHeight="1" s="1695">
      <c r="A888" s="1694" t="n"/>
      <c r="B888" s="1481" t="n"/>
      <c r="C888" s="1481" t="n"/>
    </row>
    <row r="889" ht="12.75" customFormat="1" customHeight="1" s="1695">
      <c r="A889" s="1694" t="n"/>
      <c r="B889" s="1481" t="n"/>
      <c r="C889" s="1481" t="n"/>
    </row>
    <row r="890" ht="12.75" customFormat="1" customHeight="1" s="1695">
      <c r="A890" s="1694" t="n"/>
      <c r="B890" s="1481" t="n"/>
      <c r="C890" s="1481" t="n"/>
    </row>
    <row r="891" ht="12.75" customFormat="1" customHeight="1" s="1695">
      <c r="A891" s="1694" t="n"/>
      <c r="B891" s="1481" t="n"/>
      <c r="C891" s="1481" t="n"/>
    </row>
    <row r="892" ht="12.75" customFormat="1" customHeight="1" s="1695">
      <c r="A892" s="1694" t="n"/>
      <c r="B892" s="1481" t="n"/>
      <c r="C892" s="1481" t="n"/>
    </row>
    <row r="893" ht="12.75" customFormat="1" customHeight="1" s="1695">
      <c r="A893" s="1694" t="n"/>
      <c r="B893" s="1481" t="n"/>
      <c r="C893" s="1481" t="n"/>
    </row>
    <row r="894" ht="12.75" customFormat="1" customHeight="1" s="1695">
      <c r="A894" s="1694" t="n"/>
      <c r="B894" s="1481" t="n"/>
      <c r="C894" s="1481" t="n"/>
    </row>
    <row r="895" ht="12.75" customFormat="1" customHeight="1" s="1695">
      <c r="A895" s="1694" t="n"/>
      <c r="B895" s="1481" t="n"/>
      <c r="C895" s="1481" t="n"/>
    </row>
    <row r="896" ht="12.75" customFormat="1" customHeight="1" s="1695">
      <c r="A896" s="1694" t="n"/>
      <c r="B896" s="1481" t="n"/>
      <c r="C896" s="1481" t="n"/>
    </row>
    <row r="897" ht="12.75" customFormat="1" customHeight="1" s="1695">
      <c r="A897" s="1694" t="n"/>
      <c r="B897" s="1481" t="n"/>
      <c r="C897" s="1481" t="n"/>
    </row>
    <row r="898" ht="12.75" customFormat="1" customHeight="1" s="1695">
      <c r="A898" s="1694" t="n"/>
      <c r="B898" s="1481" t="n"/>
      <c r="C898" s="1481" t="n"/>
    </row>
    <row r="899" ht="12.75" customFormat="1" customHeight="1" s="1695">
      <c r="A899" s="1694" t="n"/>
      <c r="B899" s="1481" t="n"/>
      <c r="C899" s="1481" t="n"/>
    </row>
    <row r="900" ht="12.75" customFormat="1" customHeight="1" s="1695">
      <c r="A900" s="1694" t="n"/>
      <c r="B900" s="1481" t="n"/>
      <c r="C900" s="1481" t="n"/>
    </row>
    <row r="901" ht="12.75" customFormat="1" customHeight="1" s="1695">
      <c r="A901" s="1694" t="n"/>
      <c r="B901" s="1481" t="n"/>
      <c r="C901" s="1481" t="n"/>
    </row>
    <row r="902" ht="12.75" customFormat="1" customHeight="1" s="1695">
      <c r="A902" s="1694" t="n"/>
      <c r="B902" s="1481" t="n"/>
      <c r="C902" s="1481" t="n"/>
    </row>
    <row r="903" ht="12.75" customFormat="1" customHeight="1" s="1695">
      <c r="A903" s="1694" t="n"/>
      <c r="B903" s="1481" t="n"/>
      <c r="C903" s="1481" t="n"/>
    </row>
    <row r="904" ht="12.75" customFormat="1" customHeight="1" s="1695">
      <c r="A904" s="1694" t="n"/>
      <c r="B904" s="1481" t="n"/>
      <c r="C904" s="1481" t="n"/>
    </row>
    <row r="905" ht="12.75" customFormat="1" customHeight="1" s="1695">
      <c r="A905" s="1694" t="n"/>
      <c r="B905" s="1481" t="n"/>
      <c r="C905" s="1481" t="n"/>
    </row>
    <row r="906" ht="12.75" customFormat="1" customHeight="1" s="1695">
      <c r="A906" s="1694" t="n"/>
      <c r="B906" s="1481" t="n"/>
      <c r="C906" s="1481" t="n"/>
    </row>
    <row r="907" ht="12.75" customFormat="1" customHeight="1" s="1695">
      <c r="A907" s="1694" t="n"/>
      <c r="B907" s="1481" t="n"/>
      <c r="C907" s="1481" t="n"/>
    </row>
    <row r="908" ht="12.75" customFormat="1" customHeight="1" s="1695">
      <c r="A908" s="1694" t="n"/>
      <c r="B908" s="1481" t="n"/>
      <c r="C908" s="1481" t="n"/>
    </row>
    <row r="909" ht="12.75" customFormat="1" customHeight="1" s="1695">
      <c r="A909" s="1694" t="n"/>
      <c r="B909" s="1481" t="n"/>
      <c r="C909" s="1481" t="n"/>
    </row>
    <row r="910" ht="12.75" customFormat="1" customHeight="1" s="1695">
      <c r="A910" s="1694" t="n"/>
      <c r="B910" s="1481" t="n"/>
      <c r="C910" s="1481" t="n"/>
    </row>
    <row r="911" ht="12.75" customFormat="1" customHeight="1" s="1695">
      <c r="A911" s="1694" t="n"/>
      <c r="B911" s="1481" t="n"/>
      <c r="C911" s="1481" t="n"/>
    </row>
    <row r="912" ht="12.75" customFormat="1" customHeight="1" s="1695">
      <c r="A912" s="1694" t="n"/>
      <c r="B912" s="1481" t="n"/>
      <c r="C912" s="1481" t="n"/>
    </row>
    <row r="913" ht="12.75" customFormat="1" customHeight="1" s="1695">
      <c r="A913" s="1694" t="n"/>
      <c r="B913" s="1481" t="n"/>
      <c r="C913" s="1481" t="n"/>
    </row>
    <row r="914" ht="12.75" customFormat="1" customHeight="1" s="1695">
      <c r="A914" s="1694" t="n"/>
      <c r="B914" s="1481" t="n"/>
      <c r="C914" s="1481" t="n"/>
    </row>
    <row r="915" ht="12.75" customFormat="1" customHeight="1" s="1695">
      <c r="A915" s="1694" t="n"/>
      <c r="B915" s="1481" t="n"/>
      <c r="C915" s="1481" t="n"/>
    </row>
    <row r="916" ht="12.75" customFormat="1" customHeight="1" s="1695">
      <c r="A916" s="1694" t="n"/>
      <c r="B916" s="1481" t="n"/>
      <c r="C916" s="1481" t="n"/>
    </row>
    <row r="917" ht="12.75" customFormat="1" customHeight="1" s="1695">
      <c r="A917" s="1694" t="n"/>
      <c r="B917" s="1481" t="n"/>
      <c r="C917" s="1481" t="n"/>
    </row>
    <row r="918" ht="12.75" customFormat="1" customHeight="1" s="1695">
      <c r="A918" s="1694" t="n"/>
      <c r="B918" s="1481" t="n"/>
      <c r="C918" s="1481" t="n"/>
    </row>
    <row r="919" ht="12.75" customFormat="1" customHeight="1" s="1695">
      <c r="A919" s="1694" t="n"/>
      <c r="B919" s="1481" t="n"/>
      <c r="C919" s="1481" t="n"/>
    </row>
    <row r="920" ht="12.75" customFormat="1" customHeight="1" s="1695">
      <c r="A920" s="1694" t="n"/>
      <c r="B920" s="1481" t="n"/>
      <c r="C920" s="1481" t="n"/>
    </row>
    <row r="921" ht="12.75" customFormat="1" customHeight="1" s="1695">
      <c r="A921" s="1694" t="n"/>
      <c r="B921" s="1481" t="n"/>
      <c r="C921" s="1481" t="n"/>
    </row>
    <row r="922" ht="12.75" customFormat="1" customHeight="1" s="1695">
      <c r="A922" s="1694" t="n"/>
      <c r="B922" s="1481" t="n"/>
      <c r="C922" s="1481" t="n"/>
    </row>
    <row r="923" ht="12.75" customFormat="1" customHeight="1" s="1695">
      <c r="A923" s="1694" t="n"/>
      <c r="B923" s="1481" t="n"/>
      <c r="C923" s="1481" t="n"/>
    </row>
    <row r="924" ht="12.75" customFormat="1" customHeight="1" s="1695">
      <c r="A924" s="1694" t="n"/>
      <c r="B924" s="1481" t="n"/>
      <c r="C924" s="1481" t="n"/>
    </row>
    <row r="925" ht="12.75" customFormat="1" customHeight="1" s="1695">
      <c r="A925" s="1694" t="n"/>
      <c r="B925" s="1481" t="n"/>
      <c r="C925" s="1481" t="n"/>
    </row>
    <row r="926" ht="12.75" customFormat="1" customHeight="1" s="1695">
      <c r="A926" s="1694" t="n"/>
      <c r="B926" s="1481" t="n"/>
      <c r="C926" s="1481" t="n"/>
    </row>
    <row r="927" ht="12.75" customFormat="1" customHeight="1" s="1695">
      <c r="A927" s="1694" t="n"/>
      <c r="B927" s="1481" t="n"/>
      <c r="C927" s="1481" t="n"/>
    </row>
    <row r="928" ht="12.75" customFormat="1" customHeight="1" s="1695">
      <c r="A928" s="1694" t="n"/>
      <c r="B928" s="1481" t="n"/>
      <c r="C928" s="1481" t="n"/>
    </row>
    <row r="929" ht="12.75" customFormat="1" customHeight="1" s="1695">
      <c r="A929" s="1694" t="n"/>
      <c r="B929" s="1481" t="n"/>
      <c r="C929" s="1481" t="n"/>
    </row>
    <row r="930" ht="12.75" customFormat="1" customHeight="1" s="1695">
      <c r="A930" s="1694" t="n"/>
      <c r="B930" s="1481" t="n"/>
      <c r="C930" s="1481" t="n"/>
    </row>
    <row r="931" ht="12.75" customFormat="1" customHeight="1" s="1695">
      <c r="A931" s="1694" t="n"/>
      <c r="B931" s="1481" t="n"/>
      <c r="C931" s="1481" t="n"/>
    </row>
    <row r="932" ht="12.75" customFormat="1" customHeight="1" s="1695">
      <c r="A932" s="1694" t="n"/>
      <c r="B932" s="1481" t="n"/>
      <c r="C932" s="1481" t="n"/>
    </row>
    <row r="933" ht="12.75" customFormat="1" customHeight="1" s="1695">
      <c r="A933" s="1694" t="n"/>
      <c r="B933" s="1481" t="n"/>
      <c r="C933" s="1481" t="n"/>
    </row>
    <row r="934" ht="12.75" customFormat="1" customHeight="1" s="1695">
      <c r="A934" s="1694" t="n"/>
      <c r="B934" s="1481" t="n"/>
      <c r="C934" s="1481" t="n"/>
    </row>
    <row r="935" ht="12.75" customFormat="1" customHeight="1" s="1695">
      <c r="A935" s="1694" t="n"/>
      <c r="B935" s="1481" t="n"/>
      <c r="C935" s="1481" t="n"/>
    </row>
    <row r="936" ht="12.75" customFormat="1" customHeight="1" s="1695">
      <c r="A936" s="1694" t="n"/>
      <c r="B936" s="1481" t="n"/>
      <c r="C936" s="1481" t="n"/>
    </row>
    <row r="937" ht="12.75" customFormat="1" customHeight="1" s="1695">
      <c r="A937" s="1694" t="n"/>
      <c r="B937" s="1481" t="n"/>
      <c r="C937" s="1481" t="n"/>
    </row>
    <row r="938" ht="12.75" customFormat="1" customHeight="1" s="1695">
      <c r="A938" s="1694" t="n"/>
      <c r="B938" s="1481" t="n"/>
      <c r="C938" s="1481" t="n"/>
    </row>
    <row r="939" ht="12.75" customFormat="1" customHeight="1" s="1695">
      <c r="A939" s="1694" t="n"/>
      <c r="B939" s="1481" t="n"/>
      <c r="C939" s="1481" t="n"/>
    </row>
    <row r="940" ht="12.75" customFormat="1" customHeight="1" s="1695">
      <c r="A940" s="1694" t="n"/>
      <c r="B940" s="1481" t="n"/>
      <c r="C940" s="1481" t="n"/>
    </row>
    <row r="941" ht="12.75" customFormat="1" customHeight="1" s="1695">
      <c r="A941" s="1694" t="n"/>
      <c r="B941" s="1481" t="n"/>
      <c r="C941" s="1481" t="n"/>
    </row>
    <row r="942" ht="12.75" customFormat="1" customHeight="1" s="1695">
      <c r="A942" s="1694" t="n"/>
      <c r="B942" s="1481" t="n"/>
      <c r="C942" s="1481" t="n"/>
    </row>
    <row r="943" ht="12.75" customFormat="1" customHeight="1" s="1695">
      <c r="A943" s="1694" t="n"/>
      <c r="B943" s="1481" t="n"/>
      <c r="C943" s="1481" t="n"/>
    </row>
    <row r="944" ht="12.75" customFormat="1" customHeight="1" s="1695">
      <c r="A944" s="1694" t="n"/>
      <c r="B944" s="1481" t="n"/>
      <c r="C944" s="1481" t="n"/>
    </row>
    <row r="945" ht="12.75" customFormat="1" customHeight="1" s="1695">
      <c r="A945" s="1694" t="n"/>
      <c r="B945" s="1481" t="n"/>
      <c r="C945" s="1481" t="n"/>
    </row>
    <row r="946" ht="12.75" customFormat="1" customHeight="1" s="1695">
      <c r="A946" s="1694" t="n"/>
      <c r="B946" s="1481" t="n"/>
      <c r="C946" s="1481" t="n"/>
    </row>
    <row r="947" ht="12.75" customFormat="1" customHeight="1" s="1695">
      <c r="A947" s="1694" t="n"/>
      <c r="B947" s="1481" t="n"/>
      <c r="C947" s="1481" t="n"/>
    </row>
    <row r="948" ht="12.75" customFormat="1" customHeight="1" s="1695">
      <c r="A948" s="1694" t="n"/>
      <c r="B948" s="1481" t="n"/>
      <c r="C948" s="1481" t="n"/>
    </row>
    <row r="949" ht="12.75" customFormat="1" customHeight="1" s="1695">
      <c r="A949" s="1694" t="n"/>
      <c r="B949" s="1481" t="n"/>
      <c r="C949" s="1481" t="n"/>
    </row>
    <row r="950" ht="12.75" customFormat="1" customHeight="1" s="1695">
      <c r="A950" s="1694" t="n"/>
      <c r="B950" s="1481" t="n"/>
      <c r="C950" s="1481" t="n"/>
    </row>
    <row r="951" ht="12.75" customFormat="1" customHeight="1" s="1695">
      <c r="A951" s="1694" t="n"/>
      <c r="B951" s="1481" t="n"/>
      <c r="C951" s="1481" t="n"/>
    </row>
    <row r="952" ht="12.75" customFormat="1" customHeight="1" s="1695">
      <c r="A952" s="1694" t="n"/>
      <c r="B952" s="1481" t="n"/>
      <c r="C952" s="1481" t="n"/>
    </row>
    <row r="953" ht="12.75" customFormat="1" customHeight="1" s="1695">
      <c r="A953" s="1694" t="n"/>
      <c r="B953" s="1481" t="n"/>
      <c r="C953" s="1481" t="n"/>
    </row>
    <row r="954" ht="12.75" customFormat="1" customHeight="1" s="1695">
      <c r="A954" s="1694" t="n"/>
      <c r="B954" s="1481" t="n"/>
      <c r="C954" s="1481"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40" zoomScaleNormal="100" zoomScalePageLayoutView="140" workbookViewId="0">
      <selection pane="topLeft" activeCell="A2" activeCellId="1" sqref="A11:S69 A2"/>
    </sheetView>
  </sheetViews>
  <sheetFormatPr baseColWidth="8" defaultColWidth="8.59765625" defaultRowHeight="14.25" customHeight="0" zeroHeight="0" outlineLevelRow="0"/>
  <cols>
    <col width="20" customWidth="1" style="910" min="1" max="1"/>
    <col width="75" customWidth="1" style="910" min="2" max="2"/>
    <col width="15" customWidth="1" style="910" min="3" max="5"/>
    <col width="18" customWidth="1" style="910" min="6" max="8"/>
    <col width="14" customWidth="1" style="910" min="9" max="9"/>
  </cols>
  <sheetData>
    <row r="1" ht="14.25" customHeight="1" s="862">
      <c r="A1" s="1696" t="inlineStr">
        <is>
          <t>Image Name</t>
        </is>
      </c>
      <c r="B1" s="1696" t="inlineStr">
        <is>
          <t>Description</t>
        </is>
      </c>
      <c r="C1" s="1696" t="inlineStr">
        <is>
          <t>Length</t>
        </is>
      </c>
      <c r="D1" s="1696" t="inlineStr">
        <is>
          <t>OD</t>
        </is>
      </c>
      <c r="E1" s="1696" t="inlineStr">
        <is>
          <t>ID</t>
        </is>
      </c>
      <c r="F1" s="1696" t="inlineStr">
        <is>
          <t>PN</t>
        </is>
      </c>
      <c r="G1" s="1696" t="inlineStr">
        <is>
          <t>SN</t>
        </is>
      </c>
      <c r="H1" s="1696" t="inlineStr">
        <is>
          <t>SAP</t>
        </is>
      </c>
      <c r="I1" s="1696" t="inlineStr">
        <is>
          <t>CAT ID</t>
        </is>
      </c>
    </row>
    <row r="2" ht="86.25" customHeight="1" s="862">
      <c r="A2" s="1697" t="inlineStr">
        <is>
          <t>A</t>
        </is>
      </c>
      <c r="B2" s="1698" t="inlineStr">
        <is>
          <t>UPPER CONN. 3-1/2" VAM TOP 9.2#PPF BOX VM 28 110 KSI
DESCRIPTION: WIRELINE ENTRY GUIDE
SN: 16339547-10-008
PN 2996481
SAP: 130010036277
SUPPLIER: WEATHERFORD</t>
        </is>
      </c>
      <c r="C2" s="1699" t="n">
        <v>0.6</v>
      </c>
      <c r="D2" s="1700" t="n">
        <v>3.937</v>
      </c>
      <c r="E2" s="1700" t="n">
        <v>2.949</v>
      </c>
      <c r="F2" s="1701" t="inlineStr">
        <is>
          <t>2996481</t>
        </is>
      </c>
      <c r="G2" s="1701" t="inlineStr">
        <is>
          <t>16339547-10-008</t>
        </is>
      </c>
      <c r="H2" s="1701" t="inlineStr">
        <is>
          <t>130010036277</t>
        </is>
      </c>
      <c r="I2" s="1701" t="inlineStr">
        <is>
          <t>N/A</t>
        </is>
      </c>
    </row>
    <row r="3" ht="72" customHeight="1" s="862">
      <c r="B3" s="1698" t="inlineStr">
        <is>
          <t>UPPER CONN. 3-1/2" TSH BLUE BOX 9.2 PPF SN 28 110 KSI
DESCRIPTION: 5 FEET XOVER
SAP: 130005011340
SUPPLIER: TENARIS
LOWER CONN. 3-1/2" VAM TOP PIN 9.2 PPF SN 28 110 KSI</t>
        </is>
      </c>
      <c r="C3" s="1699" t="n">
        <v>4.96</v>
      </c>
      <c r="D3" s="1700" t="n">
        <v>3.937</v>
      </c>
      <c r="E3" s="1700" t="n">
        <v>2.969</v>
      </c>
      <c r="F3" s="1701" t="inlineStr">
        <is>
          <t>N/A</t>
        </is>
      </c>
      <c r="G3" s="1701" t="inlineStr">
        <is>
          <t>N/A</t>
        </is>
      </c>
      <c r="H3" s="1701" t="inlineStr">
        <is>
          <t>130005011340</t>
        </is>
      </c>
      <c r="I3" s="1701" t="inlineStr">
        <is>
          <t>N/A</t>
        </is>
      </c>
    </row>
    <row r="4" ht="14.25" customHeight="1" s="862">
      <c r="A4" s="910" t="inlineStr">
        <is>
          <t>JT.#1</t>
        </is>
      </c>
      <c r="B4" s="910" t="inlineStr">
        <is>
          <t>3 1/2" TSH</t>
        </is>
      </c>
      <c r="C4" s="1129" t="n">
        <v>31</v>
      </c>
    </row>
    <row r="5" ht="14.25" customHeight="1" s="862">
      <c r="A5" s="910" t="inlineStr">
        <is>
          <t>JT.#2</t>
        </is>
      </c>
      <c r="B5" s="910" t="inlineStr">
        <is>
          <t>3 1/2" TSH</t>
        </is>
      </c>
      <c r="C5" s="1129" t="n">
        <v>31</v>
      </c>
    </row>
    <row r="6" ht="14.25" customHeight="1" s="862">
      <c r="A6" s="910" t="inlineStr">
        <is>
          <t>JT.#3</t>
        </is>
      </c>
      <c r="B6" s="910" t="inlineStr">
        <is>
          <t>3 1/2" TSH</t>
        </is>
      </c>
      <c r="C6" s="1129" t="n">
        <v>31</v>
      </c>
    </row>
    <row r="7" ht="14.25" customHeight="1" s="862">
      <c r="A7" s="910" t="inlineStr">
        <is>
          <t>JT.#4</t>
        </is>
      </c>
      <c r="B7" s="910" t="inlineStr">
        <is>
          <t>3 1/2" TSH</t>
        </is>
      </c>
      <c r="C7" s="1129" t="n">
        <v>31</v>
      </c>
    </row>
    <row r="8" ht="14.25" customHeight="1" s="862">
      <c r="A8" s="910" t="inlineStr">
        <is>
          <t>JT.#5</t>
        </is>
      </c>
      <c r="B8" s="910" t="inlineStr">
        <is>
          <t>3 1/2" TSH</t>
        </is>
      </c>
      <c r="C8" s="1129" t="n">
        <v>31</v>
      </c>
    </row>
    <row r="9" ht="72" customHeight="1" s="862">
      <c r="A9" s="1702" t="inlineStr">
        <is>
          <t>SP-01</t>
        </is>
      </c>
      <c r="B9" s="1703" t="inlineStr">
        <is>
          <t>UPPER CONN. 3-1/2" VAM TOP BOX 9.2 PPF SN 28 110 KSI
DESCRIPTION: 5 FEET XOVER
SAP: 130005011340
SUPPLIER: TENARIS
UPPER CONN. 3-1/2" TSH BLUE PIN 9.2 PPF SN 28 110 KSI</t>
        </is>
      </c>
      <c r="C9" s="1704" t="n">
        <v>5.18</v>
      </c>
      <c r="D9" s="1705" t="n">
        <v>3.908</v>
      </c>
      <c r="E9" s="1705" t="n">
        <v>2.959</v>
      </c>
      <c r="F9" s="1706" t="inlineStr">
        <is>
          <t>N/A</t>
        </is>
      </c>
      <c r="G9" s="1706" t="inlineStr">
        <is>
          <t>N/A</t>
        </is>
      </c>
      <c r="H9" s="1706" t="inlineStr">
        <is>
          <t>130005011340</t>
        </is>
      </c>
      <c r="I9" s="1706" t="inlineStr">
        <is>
          <t>N/A</t>
        </is>
      </c>
    </row>
    <row r="10" ht="129" customHeight="1" s="862">
      <c r="B10" s="1703" t="inlineStr">
        <is>
          <t>UPPER CONN.
3-1/2 9.2 PPF, 110KSI VAM TOP BOX
DESCRIPTION:
PCKR, SWEL,6,3-1/2,A925, OIL
P/N: 2991712
S/N: RDT-UAE-1003629
SAP: 130010039426
SUPPLIER: WFD-REACTIVE
LOWER CONN.</t>
        </is>
      </c>
      <c r="C10" s="1704" t="n">
        <v>30.88</v>
      </c>
      <c r="D10" s="1705" t="n">
        <v>5.7</v>
      </c>
      <c r="E10" s="1705" t="n">
        <v>2.953</v>
      </c>
      <c r="F10" s="1706" t="inlineStr">
        <is>
          <t>2991712</t>
        </is>
      </c>
      <c r="G10" s="1706" t="inlineStr">
        <is>
          <t>RDT-UAE-1003629</t>
        </is>
      </c>
      <c r="H10" s="1706" t="inlineStr">
        <is>
          <t>130010039426</t>
        </is>
      </c>
      <c r="I10" s="1706" t="inlineStr">
        <is>
          <t>N/A</t>
        </is>
      </c>
    </row>
    <row r="11" ht="72" customHeight="1" s="862">
      <c r="B11" s="1703" t="inlineStr">
        <is>
          <t>UPPER CONN . 3-1/2" TSH BLUE BOX 9.2 PPF SN 28 110 KSI
DESCRIPTION: 3 FEET XOVER
SAP: 130005011337
SUPPLIER: TENARIS
LOWER CONN. 3-1/2" VAM TOP PIN 9.2 PPF SN 28 110 KSI</t>
        </is>
      </c>
      <c r="C11" s="1704" t="n">
        <v>2.78</v>
      </c>
      <c r="D11" s="1705" t="n">
        <v>3.937</v>
      </c>
      <c r="E11" s="1705" t="n">
        <v>2.969</v>
      </c>
      <c r="F11" s="1706" t="inlineStr">
        <is>
          <t>N/A</t>
        </is>
      </c>
      <c r="G11" s="1706" t="inlineStr">
        <is>
          <t>N/A</t>
        </is>
      </c>
      <c r="H11" s="1706" t="inlineStr">
        <is>
          <t>130005011337</t>
        </is>
      </c>
      <c r="I11" s="1706" t="inlineStr">
        <is>
          <t>N/A</t>
        </is>
      </c>
    </row>
    <row r="12" ht="14.25" customHeight="1" s="862">
      <c r="A12" s="910" t="inlineStr">
        <is>
          <t>JT.#6</t>
        </is>
      </c>
      <c r="B12" s="910" t="inlineStr">
        <is>
          <t>3 1/2" TSH</t>
        </is>
      </c>
      <c r="C12" s="1129" t="n">
        <v>31</v>
      </c>
    </row>
    <row r="13" ht="14.25" customHeight="1" s="862">
      <c r="A13" s="910" t="inlineStr">
        <is>
          <t>JT.#7</t>
        </is>
      </c>
      <c r="B13" s="910" t="inlineStr">
        <is>
          <t>3 1/2" TSH</t>
        </is>
      </c>
      <c r="C13" s="1129" t="n">
        <v>31</v>
      </c>
    </row>
    <row r="14" ht="14.25" customHeight="1" s="862">
      <c r="A14" s="910" t="inlineStr">
        <is>
          <t>JT.#8</t>
        </is>
      </c>
      <c r="B14" s="910" t="inlineStr">
        <is>
          <t>3 1/2" TSH</t>
        </is>
      </c>
      <c r="C14" s="1129" t="n">
        <v>31</v>
      </c>
    </row>
    <row r="15" ht="14.25" customHeight="1" s="862">
      <c r="A15" s="910" t="inlineStr">
        <is>
          <t>JT.#9</t>
        </is>
      </c>
      <c r="B15" s="910" t="inlineStr">
        <is>
          <t>3 1/2" TSH</t>
        </is>
      </c>
      <c r="C15" s="1129" t="n">
        <v>31</v>
      </c>
    </row>
    <row r="16" ht="14.25" customHeight="1" s="862">
      <c r="A16" s="910" t="inlineStr">
        <is>
          <t>JT.#10</t>
        </is>
      </c>
      <c r="B16" s="910" t="inlineStr">
        <is>
          <t>3 1/2" TSH</t>
        </is>
      </c>
      <c r="C16" s="1129" t="n">
        <v>31</v>
      </c>
    </row>
    <row r="17" ht="14.25" customHeight="1" s="862">
      <c r="A17" s="910" t="inlineStr">
        <is>
          <t>JT.#11</t>
        </is>
      </c>
      <c r="B17" s="910" t="inlineStr">
        <is>
          <t>3 1/2" TSH</t>
        </is>
      </c>
      <c r="C17" s="1129" t="n">
        <v>31</v>
      </c>
    </row>
    <row r="18" ht="14.25" customHeight="1" s="862">
      <c r="A18" s="910" t="inlineStr">
        <is>
          <t>JT.#12</t>
        </is>
      </c>
      <c r="B18" s="910" t="inlineStr">
        <is>
          <t>3 1/2" TSH</t>
        </is>
      </c>
      <c r="C18" s="1129" t="n">
        <v>31</v>
      </c>
    </row>
    <row r="19" ht="14.25" customHeight="1" s="862">
      <c r="A19" s="910" t="inlineStr">
        <is>
          <t>JT.#13</t>
        </is>
      </c>
      <c r="B19" s="910" t="inlineStr">
        <is>
          <t>3 1/2" TSH</t>
        </is>
      </c>
      <c r="C19" s="1129" t="n">
        <v>31</v>
      </c>
    </row>
    <row r="20" ht="14.25" customHeight="1" s="862">
      <c r="A20" s="910" t="inlineStr">
        <is>
          <t>JT.#14</t>
        </is>
      </c>
      <c r="B20" s="910" t="inlineStr">
        <is>
          <t>3 1/2" TSH</t>
        </is>
      </c>
      <c r="C20" s="1129" t="n">
        <v>31</v>
      </c>
    </row>
    <row r="21" ht="14.25" customHeight="1" s="862">
      <c r="A21" s="910" t="inlineStr">
        <is>
          <t>JT.#15</t>
        </is>
      </c>
      <c r="B21" s="910" t="inlineStr">
        <is>
          <t>3 1/2" TSH</t>
        </is>
      </c>
      <c r="C21" s="1129" t="n">
        <v>31</v>
      </c>
    </row>
    <row r="22" ht="72" customHeight="1" s="862">
      <c r="A22" s="1707" t="inlineStr">
        <is>
          <t>B</t>
        </is>
      </c>
      <c r="B22" s="1708" t="inlineStr">
        <is>
          <t>UPPER CONN. 3-1/2" VAM TOP BOX 9.2 PPF SN 28 110 KSI
DESCRIPTION: 5 FEET XOVER
SAP: 130005011340
SUPPLIER: TENARIS
LOWER CONN. 3-1/2" TSH BLUE PIN 9.2 PPF SN 28 110 KSI</t>
        </is>
      </c>
      <c r="C22" s="1709" t="n">
        <v>5.18</v>
      </c>
      <c r="D22" s="1710" t="n">
        <v>3.908</v>
      </c>
      <c r="E22" s="1710" t="n">
        <v>2.959</v>
      </c>
      <c r="F22" s="1711" t="inlineStr">
        <is>
          <t>N/A</t>
        </is>
      </c>
      <c r="G22" s="1711" t="inlineStr">
        <is>
          <t>N/A</t>
        </is>
      </c>
      <c r="H22" s="1711" t="inlineStr">
        <is>
          <t>130005011340</t>
        </is>
      </c>
      <c r="I22" s="1711" t="inlineStr">
        <is>
          <t>N/A</t>
        </is>
      </c>
    </row>
    <row r="23" ht="72" customHeight="1" s="862">
      <c r="B23" s="1708" t="inlineStr">
        <is>
          <t>UPPER CONN. 3-1/2" SENTINEL PRIME BOX 9.2 PPF TX28-110 KSI
DESCRIPTION: 5 FEET XOVER
SAP: 130013006385
SUPPLIER: TBX
LOWER CONN. 3-1/2" VAM TOP PIN 9.2 PPF TX28- 110 KSI</t>
        </is>
      </c>
      <c r="C23" s="1709" t="n">
        <v>4.91</v>
      </c>
      <c r="D23" s="1710" t="n">
        <v>3.929</v>
      </c>
      <c r="E23" s="1710" t="n">
        <v>2.921</v>
      </c>
      <c r="F23" s="1711" t="inlineStr">
        <is>
          <t>N/A</t>
        </is>
      </c>
      <c r="G23" s="1711" t="inlineStr">
        <is>
          <t>N/A</t>
        </is>
      </c>
      <c r="H23" s="1711" t="inlineStr">
        <is>
          <t>130013006385</t>
        </is>
      </c>
      <c r="I23" s="1711" t="inlineStr">
        <is>
          <t>N/A</t>
        </is>
      </c>
    </row>
    <row r="24" ht="100.5" customHeight="1" s="862">
      <c r="B24" s="1708" t="inlineStr">
        <is>
          <t>UPPER CONN. 3-1/2" SENTINEL PRIME 9.2#PPF INC 925 BOX
DESCRIPTION: NINE ENERGY MULTICYCLE BARRIER DEVICE
7 CYCLES REMAINING
P/N: 3207251
S/N: 100 086 877
SAP: 130010036003 SUPPLIER: NINE ENERGY
LOWER CONN- 3 1/2 9.2 SENTINEL PRIME 9.2 PPF INC 925 PIN</t>
        </is>
      </c>
      <c r="C24" s="1709" t="n">
        <v>5.22</v>
      </c>
      <c r="D24" s="1710" t="n">
        <v>4.8</v>
      </c>
      <c r="E24" s="1710" t="n">
        <v>2.91</v>
      </c>
      <c r="F24" s="1711" t="inlineStr">
        <is>
          <t>3207251</t>
        </is>
      </c>
      <c r="G24" s="1711" t="inlineStr">
        <is>
          <t>100 086 877</t>
        </is>
      </c>
      <c r="H24" s="1711" t="inlineStr">
        <is>
          <t>130010036003</t>
        </is>
      </c>
      <c r="I24" s="1711" t="inlineStr">
        <is>
          <t>N/A</t>
        </is>
      </c>
    </row>
    <row r="25" ht="72" customHeight="1" s="862">
      <c r="B25" s="1708" t="inlineStr">
        <is>
          <t>UPPER CONN. 3-1/2" VAM TOP BOX 9.2 PPF TX28- 110 KSI
DESCRIPTION: 5 FEET XOVER
SAP: 130013006383
SUPPLIER: TBX
LOWER CONN -3-1/2" SENTINEL PRIME PIN 9.2 PPF TX28-110 KSI</t>
        </is>
      </c>
      <c r="C25" s="1709" t="n">
        <v>4.8</v>
      </c>
      <c r="D25" s="1710" t="n">
        <v>3.908</v>
      </c>
      <c r="E25" s="1710" t="n">
        <v>2.959</v>
      </c>
      <c r="F25" s="1711" t="inlineStr">
        <is>
          <t>N/A</t>
        </is>
      </c>
      <c r="G25" s="1711" t="inlineStr">
        <is>
          <t>N/A</t>
        </is>
      </c>
      <c r="H25" s="1711" t="inlineStr">
        <is>
          <t>130013006383</t>
        </is>
      </c>
      <c r="I25" s="1711" t="inlineStr">
        <is>
          <t>N/A</t>
        </is>
      </c>
    </row>
    <row r="26" ht="72" customHeight="1" s="862">
      <c r="B26" s="1708" t="inlineStr">
        <is>
          <t>UPPER CONN. 3-1/2" TSH BLUE BOX 9.2 PPF SN 28 110 KSI
DESCRIPTION: 10 FEET XOVER
SAP: 130005011444
SUPPLIER: TENARIS
LOWER CONN. 3-1/2" VAM TOP PIN 9.2 PPF SN 28 110 KSI</t>
        </is>
      </c>
      <c r="C26" s="1709" t="n">
        <v>9.83</v>
      </c>
      <c r="D26" s="1710" t="n">
        <v>3.937</v>
      </c>
      <c r="E26" s="1710" t="n">
        <v>2.969</v>
      </c>
      <c r="F26" s="1711" t="inlineStr">
        <is>
          <t>N/A</t>
        </is>
      </c>
      <c r="G26" s="1711" t="inlineStr">
        <is>
          <t>N/A</t>
        </is>
      </c>
      <c r="H26" s="1711" t="inlineStr">
        <is>
          <t>130005011444</t>
        </is>
      </c>
      <c r="I26" s="1711" t="inlineStr">
        <is>
          <t>N/A</t>
        </is>
      </c>
    </row>
    <row r="27" ht="14.25" customHeight="1" s="862">
      <c r="A27" s="910" t="inlineStr">
        <is>
          <t>JT.#16</t>
        </is>
      </c>
      <c r="B27" s="910" t="inlineStr">
        <is>
          <t>3 1/2" TSH</t>
        </is>
      </c>
      <c r="C27" s="1129" t="n">
        <v>31</v>
      </c>
    </row>
    <row r="28" ht="14.25" customHeight="1" s="862">
      <c r="A28" s="910" t="inlineStr">
        <is>
          <t>JT.#17</t>
        </is>
      </c>
      <c r="B28" s="910" t="inlineStr">
        <is>
          <t>3 1/2" TSH</t>
        </is>
      </c>
      <c r="C28" s="1129" t="n">
        <v>31</v>
      </c>
    </row>
    <row r="29" ht="14.25" customHeight="1" s="862">
      <c r="A29" s="910" t="inlineStr">
        <is>
          <t>JT.#18</t>
        </is>
      </c>
      <c r="B29" s="910" t="inlineStr">
        <is>
          <t>3 1/2" TSH</t>
        </is>
      </c>
      <c r="C29" s="1129" t="n">
        <v>31</v>
      </c>
    </row>
    <row r="30" ht="14.25" customHeight="1" s="862">
      <c r="A30" s="910" t="inlineStr">
        <is>
          <t>JT.#19</t>
        </is>
      </c>
      <c r="B30" s="910" t="inlineStr">
        <is>
          <t>3 1/2" TSH</t>
        </is>
      </c>
      <c r="C30" s="1129" t="n">
        <v>31</v>
      </c>
    </row>
    <row r="31" ht="14.25" customHeight="1" s="862">
      <c r="A31" s="910" t="inlineStr">
        <is>
          <t>JT.#20</t>
        </is>
      </c>
      <c r="B31" s="910" t="inlineStr">
        <is>
          <t>3 1/2" TSH</t>
        </is>
      </c>
      <c r="C31" s="1129" t="n">
        <v>31</v>
      </c>
    </row>
    <row r="32" ht="14.25" customHeight="1" s="862">
      <c r="A32" s="910" t="inlineStr">
        <is>
          <t>JT.#21</t>
        </is>
      </c>
      <c r="B32" s="910" t="inlineStr">
        <is>
          <t>3 1/2" TSH</t>
        </is>
      </c>
      <c r="C32" s="1129" t="n">
        <v>31</v>
      </c>
    </row>
    <row r="33" ht="14.25" customHeight="1" s="862">
      <c r="A33" s="910" t="inlineStr">
        <is>
          <t>JT.#22</t>
        </is>
      </c>
      <c r="B33" s="910" t="inlineStr">
        <is>
          <t>3 1/2" TSH</t>
        </is>
      </c>
      <c r="C33" s="1129" t="n">
        <v>31</v>
      </c>
    </row>
    <row r="34" ht="14.25" customHeight="1" s="862">
      <c r="A34" s="910" t="inlineStr">
        <is>
          <t>JT.#23</t>
        </is>
      </c>
      <c r="B34" s="910" t="inlineStr">
        <is>
          <t>3 1/2" TSH</t>
        </is>
      </c>
      <c r="C34" s="1129" t="n">
        <v>31</v>
      </c>
    </row>
    <row r="35" ht="14.25" customHeight="1" s="862">
      <c r="A35" s="910" t="inlineStr">
        <is>
          <t>JT.#24</t>
        </is>
      </c>
      <c r="B35" s="910" t="inlineStr">
        <is>
          <t>3 1/2" TSH</t>
        </is>
      </c>
      <c r="C35" s="1129" t="n">
        <v>31</v>
      </c>
    </row>
    <row r="36" ht="14.25" customHeight="1" s="862">
      <c r="A36" s="910" t="inlineStr">
        <is>
          <t>JT.#25</t>
        </is>
      </c>
      <c r="B36" s="910" t="inlineStr">
        <is>
          <t>3 1/2" TSH</t>
        </is>
      </c>
      <c r="C36" s="1129" t="n">
        <v>31</v>
      </c>
    </row>
    <row r="37" ht="14.25" customHeight="1" s="862">
      <c r="A37" s="910" t="inlineStr">
        <is>
          <t>JT.#26</t>
        </is>
      </c>
      <c r="B37" s="910" t="inlineStr">
        <is>
          <t>3 1/2" TSH</t>
        </is>
      </c>
      <c r="C37" s="1129" t="n">
        <v>31</v>
      </c>
    </row>
    <row r="38" ht="14.25" customHeight="1" s="862">
      <c r="A38" s="910" t="inlineStr">
        <is>
          <t>JT.#27</t>
        </is>
      </c>
      <c r="B38" s="910" t="inlineStr">
        <is>
          <t>3 1/2" TSH</t>
        </is>
      </c>
      <c r="C38" s="1129" t="n">
        <v>31</v>
      </c>
    </row>
    <row r="39" ht="14.25" customHeight="1" s="862">
      <c r="A39" s="910" t="inlineStr">
        <is>
          <t>JT.#28</t>
        </is>
      </c>
      <c r="B39" s="910" t="inlineStr">
        <is>
          <t>3 1/2" TSH</t>
        </is>
      </c>
      <c r="C39" s="1129" t="n">
        <v>31</v>
      </c>
    </row>
    <row r="40" ht="14.25" customHeight="1" s="862">
      <c r="A40" s="910" t="inlineStr">
        <is>
          <t>JT.#29</t>
        </is>
      </c>
      <c r="B40" s="910" t="inlineStr">
        <is>
          <t>3 1/2" TSH</t>
        </is>
      </c>
      <c r="C40" s="1129" t="n">
        <v>31</v>
      </c>
    </row>
    <row r="41" ht="14.25" customHeight="1" s="862">
      <c r="A41" s="910" t="inlineStr">
        <is>
          <t>JT.#30</t>
        </is>
      </c>
      <c r="B41" s="910" t="inlineStr">
        <is>
          <t>3 1/2" TSH</t>
        </is>
      </c>
      <c r="C41" s="1129" t="n">
        <v>31</v>
      </c>
    </row>
    <row r="42" ht="14.25" customHeight="1" s="862">
      <c r="A42" s="910" t="inlineStr">
        <is>
          <t>JT.#31</t>
        </is>
      </c>
      <c r="B42" s="910" t="inlineStr">
        <is>
          <t>3 1/2" TSH</t>
        </is>
      </c>
      <c r="C42" s="1129" t="n">
        <v>31</v>
      </c>
    </row>
    <row r="43" ht="14.25" customHeight="1" s="862">
      <c r="A43" s="910" t="inlineStr">
        <is>
          <t>JT.#32</t>
        </is>
      </c>
      <c r="B43" s="910" t="inlineStr">
        <is>
          <t>3 1/2" TSH</t>
        </is>
      </c>
      <c r="C43" s="1129" t="n">
        <v>31</v>
      </c>
    </row>
    <row r="44" ht="14.25" customHeight="1" s="862">
      <c r="A44" s="910" t="inlineStr">
        <is>
          <t>JT.#33</t>
        </is>
      </c>
      <c r="B44" s="910" t="inlineStr">
        <is>
          <t>3 1/2" TSH</t>
        </is>
      </c>
      <c r="C44" s="1129" t="n">
        <v>31</v>
      </c>
    </row>
    <row r="45" ht="14.25" customHeight="1" s="862">
      <c r="A45" s="910" t="inlineStr">
        <is>
          <t>JT.#34</t>
        </is>
      </c>
      <c r="B45" s="910" t="inlineStr">
        <is>
          <t>3 1/2" TSH</t>
        </is>
      </c>
      <c r="C45" s="1129" t="n">
        <v>31</v>
      </c>
    </row>
    <row r="46" ht="14.25" customHeight="1" s="862">
      <c r="A46" s="910" t="inlineStr">
        <is>
          <t>JT.#35</t>
        </is>
      </c>
      <c r="B46" s="910" t="inlineStr">
        <is>
          <t>3 1/2" TSH</t>
        </is>
      </c>
      <c r="C46" s="1129" t="n">
        <v>31</v>
      </c>
    </row>
    <row r="47" ht="14.25" customHeight="1" s="862">
      <c r="A47" s="910" t="inlineStr">
        <is>
          <t>JT.#36</t>
        </is>
      </c>
      <c r="B47" s="910" t="inlineStr">
        <is>
          <t>3 1/2" TSH</t>
        </is>
      </c>
      <c r="C47" s="1129" t="n">
        <v>31</v>
      </c>
    </row>
    <row r="48" ht="14.25" customHeight="1" s="862">
      <c r="A48" s="910" t="inlineStr">
        <is>
          <t>JT.#37</t>
        </is>
      </c>
      <c r="B48" s="910" t="inlineStr">
        <is>
          <t>3 1/2" TSH</t>
        </is>
      </c>
      <c r="C48" s="1129" t="n">
        <v>31</v>
      </c>
    </row>
    <row r="49" ht="72" customHeight="1" s="862">
      <c r="A49" s="1712" t="inlineStr">
        <is>
          <t>C</t>
        </is>
      </c>
      <c r="B49" s="1713" t="inlineStr">
        <is>
          <t>UPPER CONN. 3-1/2" VAM TOP BOX 9.2 PPF SN 28 110 KSI
DESCRIPTION: 5 FEET XOVER
SAP: 130005011340
SUPPLIER: TENARIS
LOWER CONN. 3-1/2" TSH BLUE PIN 9.2 PPF SN 28 110 KSI</t>
        </is>
      </c>
      <c r="C49" s="1714" t="n">
        <v>5.16</v>
      </c>
      <c r="D49" s="1715" t="n">
        <v>3.908</v>
      </c>
      <c r="E49" s="1715" t="n">
        <v>2.959</v>
      </c>
      <c r="F49" s="1716" t="inlineStr">
        <is>
          <t>N/A</t>
        </is>
      </c>
      <c r="G49" s="1716" t="inlineStr">
        <is>
          <t>N/A</t>
        </is>
      </c>
      <c r="H49" s="1716" t="inlineStr">
        <is>
          <t>130005011340</t>
        </is>
      </c>
      <c r="I49" s="1716" t="inlineStr">
        <is>
          <t>N/A</t>
        </is>
      </c>
    </row>
    <row r="50" ht="100.5" customHeight="1" s="862">
      <c r="B50" s="1713" t="inlineStr">
        <is>
          <t>UPPER CONN. 3-1/2" VAM TOP 9.2#PPF INC 925 KSI BOX
DESCRIPTION: 2.750 WXN Nipple
PN: 2963809
S/N :12527047-08
SAP: 130010036868
SUPPLIER: WEATHERFORD
LOWER CONN.3-1/2" VAM TOP 9.2#PPF INC 925KSI PIN</t>
        </is>
      </c>
      <c r="C50" s="1714" t="n">
        <v>1.15</v>
      </c>
      <c r="D50" s="1715" t="n">
        <v>3.885</v>
      </c>
      <c r="E50" s="1715" t="n">
        <v>2.637</v>
      </c>
      <c r="F50" s="1716" t="inlineStr">
        <is>
          <t>2963809</t>
        </is>
      </c>
      <c r="G50" s="1716" t="inlineStr">
        <is>
          <t>12527047-08</t>
        </is>
      </c>
      <c r="H50" s="1716" t="inlineStr">
        <is>
          <t>130010036868</t>
        </is>
      </c>
      <c r="I50" s="1716" t="inlineStr">
        <is>
          <t>N/A</t>
        </is>
      </c>
    </row>
    <row r="51" ht="72" customHeight="1" s="862">
      <c r="B51" s="1713" t="inlineStr">
        <is>
          <t>UPPER CONN. 3-1/2" VAM TOP 9.2#PPF SM 2535 BOX
DESCRIPTION: 5 FEET PUP JOINT
SAP: 130005002758
SUPPLIER: VAM
LOWER CONN. 3-1/2" VAM TOP 9.2#PPF SM 2535 PIN</t>
        </is>
      </c>
      <c r="C51" s="1714" t="n">
        <v>4.92</v>
      </c>
      <c r="D51" s="1715" t="n">
        <v>3.908</v>
      </c>
      <c r="E51" s="1715" t="n">
        <v>2.959</v>
      </c>
      <c r="F51" s="1716" t="inlineStr">
        <is>
          <t>N/A</t>
        </is>
      </c>
      <c r="G51" s="1716" t="inlineStr">
        <is>
          <t>N/A</t>
        </is>
      </c>
      <c r="H51" s="1716" t="inlineStr">
        <is>
          <t>130005002758</t>
        </is>
      </c>
      <c r="I51" s="1716" t="inlineStr">
        <is>
          <t>N/A</t>
        </is>
      </c>
    </row>
    <row r="52" ht="72" customHeight="1" s="862">
      <c r="B52" s="1713" t="inlineStr">
        <is>
          <t>UPPER CONN. 3-1/2" VAM TOP 9.2#PPF SM2535 BOX
DESCRIPTION: 10 FEET PUP JOINT
SAP: 130013000213
SUPPLIER: VAM
LOWER CONN. 3-1/2" VAM TOP 9.2#PPF SM2535 PIN</t>
        </is>
      </c>
      <c r="C52" s="1714" t="n">
        <v>9.92</v>
      </c>
      <c r="D52" s="1715" t="n">
        <v>3.908</v>
      </c>
      <c r="E52" s="1715" t="n">
        <v>2.959</v>
      </c>
      <c r="F52" s="1716" t="inlineStr">
        <is>
          <t>N/A</t>
        </is>
      </c>
      <c r="G52" s="1716" t="inlineStr">
        <is>
          <t>N/A</t>
        </is>
      </c>
      <c r="H52" s="1716" t="inlineStr">
        <is>
          <t>130013000213</t>
        </is>
      </c>
      <c r="I52" s="1716" t="inlineStr">
        <is>
          <t>N/A</t>
        </is>
      </c>
    </row>
    <row r="53" ht="144" customHeight="1" s="862">
      <c r="B53" s="1713"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14" t="n">
        <v>9.710000000000001</v>
      </c>
      <c r="D53" s="1715" t="n">
        <v>5.91</v>
      </c>
      <c r="E53" s="1715" t="n">
        <v>2.919</v>
      </c>
      <c r="F53" s="1716" t="inlineStr">
        <is>
          <t>2960170</t>
        </is>
      </c>
      <c r="G53" s="1716" t="inlineStr">
        <is>
          <t>12857761-01</t>
        </is>
      </c>
      <c r="H53" s="1716" t="inlineStr">
        <is>
          <t>130010037571</t>
        </is>
      </c>
      <c r="I53" s="1716" t="inlineStr">
        <is>
          <t>N/A</t>
        </is>
      </c>
    </row>
    <row r="54" ht="72" customHeight="1" s="862">
      <c r="B54" s="1713" t="inlineStr">
        <is>
          <t>UPPER CONN. 3-1/2" TSH BLUE BOX 9.2 PPF SN 28 110 KSI
DESCRIPTION: 5 FEET XOVER
SAP: 130005011444
SUPPLIER: TENARIS
LOWER CONN. 3-1/2" VAM TOP PIN 9.2 PPF SN 28 110 KSI</t>
        </is>
      </c>
      <c r="C54" s="1714" t="n">
        <v>4.99</v>
      </c>
      <c r="D54" s="1715" t="n">
        <v>3.937</v>
      </c>
      <c r="E54" s="1715" t="n">
        <v>2.969</v>
      </c>
      <c r="F54" s="1716" t="inlineStr">
        <is>
          <t>N/A</t>
        </is>
      </c>
      <c r="G54" s="1716" t="inlineStr">
        <is>
          <t>N/A</t>
        </is>
      </c>
      <c r="H54" s="1716" t="inlineStr">
        <is>
          <t>130005011444</t>
        </is>
      </c>
      <c r="I54" s="1716" t="inlineStr">
        <is>
          <t>N/A</t>
        </is>
      </c>
    </row>
    <row r="55" ht="14.25" customHeight="1" s="862">
      <c r="A55" s="910" t="inlineStr">
        <is>
          <t>JT.#38</t>
        </is>
      </c>
      <c r="B55" s="910" t="inlineStr">
        <is>
          <t>3 1/2" TSH</t>
        </is>
      </c>
      <c r="C55" s="1129" t="n">
        <v>31</v>
      </c>
    </row>
    <row r="56" ht="14.25" customHeight="1" s="862">
      <c r="A56" s="910" t="inlineStr">
        <is>
          <t>JT.#39</t>
        </is>
      </c>
      <c r="B56" s="910" t="inlineStr">
        <is>
          <t>3 1/2" TSH</t>
        </is>
      </c>
      <c r="C56" s="1129" t="n">
        <v>31</v>
      </c>
    </row>
    <row r="57" ht="14.25" customHeight="1" s="862">
      <c r="A57" s="910" t="inlineStr">
        <is>
          <t>JT.#40</t>
        </is>
      </c>
      <c r="B57" s="910" t="inlineStr">
        <is>
          <t>3 1/2" TSH</t>
        </is>
      </c>
      <c r="C57" s="1129" t="n">
        <v>31</v>
      </c>
    </row>
    <row r="58" ht="14.25" customHeight="1" s="862">
      <c r="A58" s="910" t="inlineStr">
        <is>
          <t>JT.#41</t>
        </is>
      </c>
      <c r="B58" s="910" t="inlineStr">
        <is>
          <t>3 1/2" TSH</t>
        </is>
      </c>
      <c r="C58" s="1129" t="n">
        <v>31</v>
      </c>
    </row>
    <row r="59" ht="14.25" customHeight="1" s="862">
      <c r="A59" s="910" t="inlineStr">
        <is>
          <t>JT.#42</t>
        </is>
      </c>
      <c r="B59" s="910" t="inlineStr">
        <is>
          <t>3 1/2" TSH</t>
        </is>
      </c>
      <c r="C59" s="1129" t="n">
        <v>31</v>
      </c>
    </row>
    <row r="60" ht="14.25" customHeight="1" s="862">
      <c r="A60" s="910" t="inlineStr">
        <is>
          <t>JT.#43</t>
        </is>
      </c>
      <c r="B60" s="910" t="inlineStr">
        <is>
          <t>3 1/2" TSH</t>
        </is>
      </c>
      <c r="C60" s="1129" t="n">
        <v>31</v>
      </c>
    </row>
    <row r="61" ht="14.25" customHeight="1" s="862">
      <c r="A61" s="910" t="inlineStr">
        <is>
          <t>JT.#44</t>
        </is>
      </c>
      <c r="B61" s="910" t="inlineStr">
        <is>
          <t>3 1/2" TSH</t>
        </is>
      </c>
      <c r="C61" s="1129" t="n">
        <v>31</v>
      </c>
    </row>
    <row r="62" ht="14.25" customHeight="1" s="862">
      <c r="A62" s="910" t="inlineStr">
        <is>
          <t>JT.#45</t>
        </is>
      </c>
      <c r="B62" s="910" t="inlineStr">
        <is>
          <t>3 1/2" TSH</t>
        </is>
      </c>
      <c r="C62" s="1129" t="n">
        <v>31</v>
      </c>
    </row>
    <row r="63" ht="14.25" customHeight="1" s="862">
      <c r="A63" s="910" t="inlineStr">
        <is>
          <t>JT.#46</t>
        </is>
      </c>
      <c r="B63" s="910" t="inlineStr">
        <is>
          <t>3 1/2" TSH</t>
        </is>
      </c>
      <c r="C63" s="1129" t="n">
        <v>31</v>
      </c>
    </row>
    <row r="64" ht="14.25" customHeight="1" s="862">
      <c r="A64" s="910" t="inlineStr">
        <is>
          <t>JT.#47</t>
        </is>
      </c>
      <c r="B64" s="910" t="inlineStr">
        <is>
          <t>3 1/2" TSH</t>
        </is>
      </c>
      <c r="C64" s="1129" t="n">
        <v>31</v>
      </c>
    </row>
    <row r="65" ht="14.25" customHeight="1" s="862">
      <c r="A65" s="910" t="inlineStr">
        <is>
          <t>JT.#48</t>
        </is>
      </c>
      <c r="B65" s="910" t="inlineStr">
        <is>
          <t>3 1/2" TSH</t>
        </is>
      </c>
      <c r="C65" s="1129" t="n">
        <v>31</v>
      </c>
    </row>
    <row r="66" ht="14.25" customHeight="1" s="862">
      <c r="A66" s="910" t="inlineStr">
        <is>
          <t>JT.#49</t>
        </is>
      </c>
      <c r="B66" s="910" t="inlineStr">
        <is>
          <t>3 1/2" TSH</t>
        </is>
      </c>
      <c r="C66" s="1129" t="n">
        <v>31</v>
      </c>
    </row>
    <row r="67" ht="14.25" customHeight="1" s="862">
      <c r="A67" s="910" t="inlineStr">
        <is>
          <t>JT.#50</t>
        </is>
      </c>
      <c r="B67" s="910" t="inlineStr">
        <is>
          <t>3 1/2" TSH</t>
        </is>
      </c>
      <c r="C67" s="1129" t="n">
        <v>31</v>
      </c>
    </row>
    <row r="68" ht="14.25" customHeight="1" s="862">
      <c r="A68" s="910" t="inlineStr">
        <is>
          <t>JT.#51</t>
        </is>
      </c>
      <c r="B68" s="910" t="inlineStr">
        <is>
          <t>3 1/2" TSH</t>
        </is>
      </c>
      <c r="C68" s="1129" t="n">
        <v>31</v>
      </c>
    </row>
    <row r="69" ht="14.25" customHeight="1" s="862">
      <c r="A69" s="910" t="inlineStr">
        <is>
          <t>JT.#52</t>
        </is>
      </c>
      <c r="B69" s="910" t="inlineStr">
        <is>
          <t>3 1/2" TSH</t>
        </is>
      </c>
      <c r="C69" s="1129" t="n">
        <v>31</v>
      </c>
    </row>
    <row r="70" ht="14.25" customHeight="1" s="862">
      <c r="A70" s="910" t="inlineStr">
        <is>
          <t>JT.#53</t>
        </is>
      </c>
      <c r="B70" s="910" t="inlineStr">
        <is>
          <t>3 1/2" TSH</t>
        </is>
      </c>
      <c r="C70" s="1129" t="n">
        <v>31</v>
      </c>
    </row>
    <row r="71" ht="14.25" customHeight="1" s="862">
      <c r="A71" s="910" t="inlineStr">
        <is>
          <t>JT.#54</t>
        </is>
      </c>
      <c r="B71" s="910" t="inlineStr">
        <is>
          <t>3 1/2" TSH</t>
        </is>
      </c>
      <c r="C71" s="1129" t="n">
        <v>31</v>
      </c>
    </row>
    <row r="72" ht="14.25" customHeight="1" s="862">
      <c r="A72" s="910" t="inlineStr">
        <is>
          <t>JT.#55</t>
        </is>
      </c>
      <c r="B72" s="910" t="inlineStr">
        <is>
          <t>3 1/2" TSH</t>
        </is>
      </c>
      <c r="C72" s="1129" t="n">
        <v>31</v>
      </c>
    </row>
    <row r="73" ht="14.25" customHeight="1" s="862">
      <c r="A73" s="910" t="inlineStr">
        <is>
          <t>JT.#56</t>
        </is>
      </c>
      <c r="B73" s="910" t="inlineStr">
        <is>
          <t>3 1/2" TSH</t>
        </is>
      </c>
      <c r="C73" s="1129" t="n">
        <v>31</v>
      </c>
    </row>
    <row r="74" ht="14.25" customHeight="1" s="862">
      <c r="A74" s="910" t="inlineStr">
        <is>
          <t>JT.#57</t>
        </is>
      </c>
      <c r="B74" s="910" t="inlineStr">
        <is>
          <t>3 1/2" TSH</t>
        </is>
      </c>
      <c r="C74" s="1129" t="n">
        <v>31</v>
      </c>
    </row>
    <row r="75" ht="72" customHeight="1" s="862">
      <c r="A75" s="1717" t="inlineStr">
        <is>
          <t>D1</t>
        </is>
      </c>
      <c r="B75" s="1718" t="inlineStr">
        <is>
          <t>UPPER CONN. 3-1/2" VAM TOP BOX 9.2 PPF SN 28 110 KSI
DESCRIPTION: 5 FEET XOVER
SAP: 130005011340
SUPPLIER: TENARIS
LOWER CONN. 3-1/2" TSH BLUE PIN 9.2 PPF SN 28 110 KSI</t>
        </is>
      </c>
      <c r="C75" s="1719" t="n">
        <v>5.2</v>
      </c>
      <c r="D75" s="1720" t="n">
        <v>3.908</v>
      </c>
      <c r="E75" s="1720" t="n">
        <v>2.959</v>
      </c>
      <c r="F75" s="1721" t="inlineStr">
        <is>
          <t>N/A</t>
        </is>
      </c>
      <c r="G75" s="1721" t="inlineStr">
        <is>
          <t>N/A</t>
        </is>
      </c>
      <c r="H75" s="1721" t="inlineStr">
        <is>
          <t>130005011340</t>
        </is>
      </c>
      <c r="I75" s="1721" t="inlineStr">
        <is>
          <t>N/A</t>
        </is>
      </c>
    </row>
    <row r="76" ht="72" customHeight="1" s="862">
      <c r="B76" s="1718" t="inlineStr">
        <is>
          <t>UPPER CONN. 3-1/2" SENTINEL PRIME BOX 9.2 PPF TX28-110 KSI
DESCRIPTION: 5 FEET XOVER
SAP: 130013006385
SUPPLIER: TBX
LOWER CONN. 3-1/2" VAM TOP PIN 9.2 PPF TX28-110 KSI</t>
        </is>
      </c>
      <c r="C76" s="1719" t="n">
        <v>4.96</v>
      </c>
      <c r="D76" s="1720" t="n">
        <v>3.929</v>
      </c>
      <c r="E76" s="1720" t="n">
        <v>2.921</v>
      </c>
      <c r="F76" s="1721" t="inlineStr">
        <is>
          <t>N/A</t>
        </is>
      </c>
      <c r="G76" s="1721" t="inlineStr">
        <is>
          <t>N/A</t>
        </is>
      </c>
      <c r="H76" s="1721" t="inlineStr">
        <is>
          <t>130013006385</t>
        </is>
      </c>
      <c r="I76" s="1721" t="inlineStr">
        <is>
          <t>N/A</t>
        </is>
      </c>
    </row>
    <row r="77" ht="129" customHeight="1" s="862">
      <c r="B77" s="1718"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19" t="n">
        <v>8.69</v>
      </c>
      <c r="D77" s="1720" t="n">
        <v>5.82</v>
      </c>
      <c r="E77" s="1720" t="n">
        <v>2.9</v>
      </c>
      <c r="F77" s="1721" t="inlineStr">
        <is>
          <t>3205577</t>
        </is>
      </c>
      <c r="G77" s="1721" t="inlineStr">
        <is>
          <t>12636080-03</t>
        </is>
      </c>
      <c r="H77" s="1721" t="inlineStr">
        <is>
          <t>130010036652</t>
        </is>
      </c>
      <c r="I77" s="1721" t="inlineStr">
        <is>
          <t>N/A</t>
        </is>
      </c>
    </row>
    <row r="78" ht="72" customHeight="1" s="862">
      <c r="B78" s="1718" t="inlineStr">
        <is>
          <t>UPPER CONN. 3-1/2" VAM TOP BOX 9.2 PPF TX28- 110 KSI
DESCRIPTION: 5 FEET XOVER
SAP: 130013006383
SUPPLIER: TBX
LOWER CONN -3-1/2" SENTINEL PRIME PIN 9.2 PPF TX28-110 KSI</t>
        </is>
      </c>
      <c r="C78" s="1719" t="n">
        <v>4.85</v>
      </c>
      <c r="D78" s="1720" t="n">
        <v>3.908</v>
      </c>
      <c r="E78" s="1720" t="n">
        <v>2.959</v>
      </c>
      <c r="F78" s="1721" t="inlineStr">
        <is>
          <t>N/A</t>
        </is>
      </c>
      <c r="G78" s="1721" t="inlineStr">
        <is>
          <t>N/A</t>
        </is>
      </c>
      <c r="H78" s="1721" t="inlineStr">
        <is>
          <t>130013006383</t>
        </is>
      </c>
      <c r="I78" s="1721" t="inlineStr">
        <is>
          <t>N/A</t>
        </is>
      </c>
    </row>
    <row r="79" ht="72" customHeight="1" s="862">
      <c r="B79" s="1718" t="inlineStr">
        <is>
          <t>UPPER CONN. 3-1/2" TSH BLUE BOX 9.2 PPF SN 28 110 KSI
DESCRIPTION: 10 FEET XOVER
SAP: 130005012487
SUPPLIER: TENARIS
LOWER CONN. 3-1/2" VAM TOP PIN 9.2 PPF SN 28 110 KSI</t>
        </is>
      </c>
      <c r="C79" s="1719" t="n">
        <v>9.949999999999999</v>
      </c>
      <c r="D79" s="1720" t="n">
        <v>3.937</v>
      </c>
      <c r="E79" s="1720" t="n">
        <v>2.969</v>
      </c>
      <c r="F79" s="1721" t="inlineStr">
        <is>
          <t>N/A</t>
        </is>
      </c>
      <c r="G79" s="1721" t="inlineStr">
        <is>
          <t>N/A</t>
        </is>
      </c>
      <c r="H79" s="1721" t="inlineStr">
        <is>
          <t>130005012487</t>
        </is>
      </c>
      <c r="I79" s="1721" t="inlineStr">
        <is>
          <t>N/A</t>
        </is>
      </c>
    </row>
    <row r="80" ht="14.25" customHeight="1" s="862">
      <c r="A80" s="910" t="inlineStr">
        <is>
          <t>JT.#58</t>
        </is>
      </c>
      <c r="B80" s="910" t="inlineStr">
        <is>
          <t>3 1/2" TSH</t>
        </is>
      </c>
      <c r="C80" s="1129" t="n">
        <v>31</v>
      </c>
    </row>
    <row r="81" ht="14.25" customHeight="1" s="862">
      <c r="A81" s="910" t="inlineStr">
        <is>
          <t>JT.#59</t>
        </is>
      </c>
      <c r="B81" s="910" t="inlineStr">
        <is>
          <t>3 1/2" TSH</t>
        </is>
      </c>
      <c r="C81" s="1129" t="n">
        <v>31</v>
      </c>
    </row>
    <row r="82" ht="14.25" customHeight="1" s="862">
      <c r="A82" s="910" t="inlineStr">
        <is>
          <t>JT.#60</t>
        </is>
      </c>
      <c r="B82" s="910" t="inlineStr">
        <is>
          <t>3 1/2" TSH</t>
        </is>
      </c>
      <c r="C82" s="1129" t="n">
        <v>31</v>
      </c>
    </row>
    <row r="83" ht="14.25" customHeight="1" s="862">
      <c r="A83" s="910" t="inlineStr">
        <is>
          <t>JT.#61</t>
        </is>
      </c>
      <c r="B83" s="910" t="inlineStr">
        <is>
          <t>3 1/2" TSH</t>
        </is>
      </c>
      <c r="C83" s="1129" t="n">
        <v>31</v>
      </c>
    </row>
    <row r="84" ht="14.25" customHeight="1" s="862">
      <c r="A84" s="910" t="inlineStr">
        <is>
          <t>JT.#62</t>
        </is>
      </c>
      <c r="B84" s="910" t="inlineStr">
        <is>
          <t>3 1/2" TSH</t>
        </is>
      </c>
      <c r="C84" s="1129" t="n">
        <v>31</v>
      </c>
    </row>
    <row r="85" ht="14.25" customHeight="1" s="862">
      <c r="A85" s="910" t="inlineStr">
        <is>
          <t>JT.#63</t>
        </is>
      </c>
      <c r="B85" s="910" t="inlineStr">
        <is>
          <t>3 1/2" TSH</t>
        </is>
      </c>
      <c r="C85" s="1129" t="n">
        <v>31</v>
      </c>
    </row>
    <row r="86" ht="14.25" customHeight="1" s="862">
      <c r="A86" s="910" t="inlineStr">
        <is>
          <t>JT.#64</t>
        </is>
      </c>
      <c r="B86" s="910" t="inlineStr">
        <is>
          <t>3 1/2" TSH</t>
        </is>
      </c>
      <c r="C86" s="1129" t="n">
        <v>31</v>
      </c>
    </row>
    <row r="87" ht="14.25" customHeight="1" s="862">
      <c r="A87" s="910" t="inlineStr">
        <is>
          <t>JT.#65</t>
        </is>
      </c>
      <c r="B87" s="910" t="inlineStr">
        <is>
          <t>3 1/2" TSH</t>
        </is>
      </c>
      <c r="C87" s="1129" t="n">
        <v>31</v>
      </c>
    </row>
    <row r="88" ht="14.25" customHeight="1" s="862">
      <c r="A88" s="910" t="inlineStr">
        <is>
          <t>JT.#66</t>
        </is>
      </c>
      <c r="B88" s="910" t="inlineStr">
        <is>
          <t>3 1/2" TSH</t>
        </is>
      </c>
      <c r="C88" s="1129" t="n">
        <v>31</v>
      </c>
    </row>
    <row r="89" ht="14.25" customHeight="1" s="862">
      <c r="A89" s="910" t="inlineStr">
        <is>
          <t>JT.#67</t>
        </is>
      </c>
      <c r="B89" s="910" t="inlineStr">
        <is>
          <t>3 1/2" TSH</t>
        </is>
      </c>
      <c r="C89" s="1129" t="n">
        <v>31</v>
      </c>
    </row>
    <row r="90" ht="14.25" customHeight="1" s="862">
      <c r="A90" s="910" t="inlineStr">
        <is>
          <t>JT.#68</t>
        </is>
      </c>
      <c r="B90" s="910" t="inlineStr">
        <is>
          <t>3 1/2" TSH</t>
        </is>
      </c>
      <c r="C90" s="1129" t="n">
        <v>31</v>
      </c>
    </row>
    <row r="91" ht="14.25" customHeight="1" s="862">
      <c r="A91" s="910" t="inlineStr">
        <is>
          <t>JT.#69</t>
        </is>
      </c>
      <c r="B91" s="910" t="inlineStr">
        <is>
          <t>3 1/2" TSH</t>
        </is>
      </c>
      <c r="C91" s="1129" t="n">
        <v>31</v>
      </c>
    </row>
    <row r="92" ht="14.25" customHeight="1" s="862">
      <c r="A92" s="910" t="inlineStr">
        <is>
          <t>JT.#70</t>
        </is>
      </c>
      <c r="B92" s="910" t="inlineStr">
        <is>
          <t>3 1/2" TSH</t>
        </is>
      </c>
      <c r="C92" s="1129" t="n">
        <v>31</v>
      </c>
    </row>
    <row r="93" ht="14.25" customHeight="1" s="862">
      <c r="A93" s="910" t="inlineStr">
        <is>
          <t>JT.#71</t>
        </is>
      </c>
      <c r="B93" s="910" t="inlineStr">
        <is>
          <t>3 1/2" TSH</t>
        </is>
      </c>
      <c r="C93" s="1129" t="n">
        <v>31</v>
      </c>
    </row>
    <row r="94" ht="14.25" customHeight="1" s="862">
      <c r="A94" s="910" t="inlineStr">
        <is>
          <t>JT.#72</t>
        </is>
      </c>
      <c r="B94" s="910" t="inlineStr">
        <is>
          <t>3 1/2" TSH</t>
        </is>
      </c>
      <c r="C94" s="1129" t="n">
        <v>31</v>
      </c>
    </row>
    <row r="95" ht="14.25" customHeight="1" s="862">
      <c r="A95" s="910" t="inlineStr">
        <is>
          <t>JT.#73</t>
        </is>
      </c>
      <c r="B95" s="910" t="inlineStr">
        <is>
          <t>3 1/2" TSH</t>
        </is>
      </c>
      <c r="C95" s="1129" t="n">
        <v>31</v>
      </c>
    </row>
    <row r="96" ht="14.25" customHeight="1" s="862">
      <c r="A96" s="910" t="inlineStr">
        <is>
          <t>JT.#74</t>
        </is>
      </c>
      <c r="B96" s="910" t="inlineStr">
        <is>
          <t>3 1/2" TSH</t>
        </is>
      </c>
      <c r="C96" s="1129" t="n">
        <v>31</v>
      </c>
    </row>
    <row r="97" ht="14.25" customHeight="1" s="862">
      <c r="A97" s="910" t="inlineStr">
        <is>
          <t>JT.#75</t>
        </is>
      </c>
      <c r="B97" s="910" t="inlineStr">
        <is>
          <t>3 1/2" TSH</t>
        </is>
      </c>
      <c r="C97" s="1129" t="n">
        <v>31</v>
      </c>
    </row>
    <row r="98" ht="14.25" customHeight="1" s="862">
      <c r="A98" s="910" t="inlineStr">
        <is>
          <t>JT.#76</t>
        </is>
      </c>
      <c r="B98" s="910" t="inlineStr">
        <is>
          <t>3 1/2" TSH</t>
        </is>
      </c>
      <c r="C98" s="1129" t="n">
        <v>31</v>
      </c>
    </row>
    <row r="99" ht="14.25" customHeight="1" s="862">
      <c r="A99" s="910" t="inlineStr">
        <is>
          <t>JT.#77</t>
        </is>
      </c>
      <c r="B99" s="910" t="inlineStr">
        <is>
          <t>3 1/2" TSH</t>
        </is>
      </c>
      <c r="C99" s="1129" t="n">
        <v>31</v>
      </c>
    </row>
    <row r="100" ht="72" customHeight="1" s="862">
      <c r="A100" s="1722" t="inlineStr">
        <is>
          <t>D2</t>
        </is>
      </c>
      <c r="B100" s="1723" t="inlineStr">
        <is>
          <t>UPPER CONN. 3-1/2" VAM TOP BOX 9.2 PPF SN 28 110 KSI
DESCRIPTION: 5 FEET XOVER
SAP: 130005011340
SUPPLIER: TENARIS
LOWER CONN. 3-1/2" TSH BLUE PIN 9.2 PPF SN 28 110 KSI</t>
        </is>
      </c>
      <c r="C100" s="1724" t="n">
        <v>5.18</v>
      </c>
      <c r="D100" s="1725" t="n">
        <v>3.908</v>
      </c>
      <c r="E100" s="1725" t="n">
        <v>2.959</v>
      </c>
      <c r="F100" s="1726" t="inlineStr">
        <is>
          <t>N/A</t>
        </is>
      </c>
      <c r="G100" s="1726" t="inlineStr">
        <is>
          <t>N/A</t>
        </is>
      </c>
      <c r="H100" s="1726" t="inlineStr">
        <is>
          <t>130005011340</t>
        </is>
      </c>
      <c r="I100" s="1726" t="inlineStr">
        <is>
          <t>N/A</t>
        </is>
      </c>
    </row>
    <row r="101" ht="72" customHeight="1" s="862">
      <c r="B101" s="1723" t="inlineStr">
        <is>
          <t>UPPER CONN. 3-1/2" SENTINEL PRIME BOX 9.2 PPF TX28- 110 KSI
DESCRIPTION: 5 FEET XOVER
SAP: 130013006385
SUPPLIER: TBX
LOWER CONN. 3-1/2" VAM TOP PIN 9.2 PPF TX28-110 KSI</t>
        </is>
      </c>
      <c r="C101" s="1724" t="n">
        <v>4.97</v>
      </c>
      <c r="D101" s="1725" t="n">
        <v>3.929</v>
      </c>
      <c r="E101" s="1725" t="n">
        <v>2.921</v>
      </c>
      <c r="F101" s="1726" t="inlineStr">
        <is>
          <t>N/A</t>
        </is>
      </c>
      <c r="G101" s="1726" t="inlineStr">
        <is>
          <t>N/A</t>
        </is>
      </c>
      <c r="H101" s="1726" t="inlineStr">
        <is>
          <t>130013006385</t>
        </is>
      </c>
      <c r="I101" s="1726" t="inlineStr">
        <is>
          <t>N/A</t>
        </is>
      </c>
    </row>
    <row r="102" ht="129" customHeight="1" s="862">
      <c r="B102" s="1723"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24" t="n">
        <v>8.69</v>
      </c>
      <c r="D102" s="1725" t="n">
        <v>5.82</v>
      </c>
      <c r="E102" s="1725" t="n">
        <v>2.9</v>
      </c>
      <c r="F102" s="1726" t="inlineStr">
        <is>
          <t>3205577</t>
        </is>
      </c>
      <c r="G102" s="1726" t="inlineStr">
        <is>
          <t>12636080-05</t>
        </is>
      </c>
      <c r="H102" s="1726" t="inlineStr">
        <is>
          <t>130010036652</t>
        </is>
      </c>
      <c r="I102" s="1726" t="inlineStr">
        <is>
          <t>N/A</t>
        </is>
      </c>
    </row>
    <row r="103" ht="72" customHeight="1" s="862">
      <c r="B103" s="1723" t="inlineStr">
        <is>
          <t>UPPER CONN. 3-1/2" VAM TOP BOX 9.2 PPF TX28- 110 KSI
DESCRIPTION: 5 FEET XOVER
SAP: 130013006383
SUPPLIER: TBX
LOWER CONN -3-1/2" SENTINEL PRIME PIN 9.2 PPF TX28-110 KSI</t>
        </is>
      </c>
      <c r="C103" s="1724" t="n">
        <v>4.8</v>
      </c>
      <c r="D103" s="1725" t="n">
        <v>3.908</v>
      </c>
      <c r="E103" s="1725" t="n">
        <v>2.959</v>
      </c>
      <c r="F103" s="1726" t="inlineStr">
        <is>
          <t>N/A</t>
        </is>
      </c>
      <c r="G103" s="1726" t="inlineStr">
        <is>
          <t>N/A</t>
        </is>
      </c>
      <c r="H103" s="1726" t="inlineStr">
        <is>
          <t>130013006383</t>
        </is>
      </c>
      <c r="I103" s="1726" t="inlineStr">
        <is>
          <t>N/A</t>
        </is>
      </c>
    </row>
    <row r="104" ht="72" customHeight="1" s="862">
      <c r="B104" s="1723" t="inlineStr">
        <is>
          <t>UPPER CONN. 3-1/2" TSH BLUE BOX 9.2 PPF SN 28 110 KSI
DESCRIPTION: 10 FEET XOVER
SAP: 130005012487
SUPPLIER: TENARIS
LOWER CONN. 3-1/2" VAM TOP PIN 9.2 PPF SN 28 110 KSI</t>
        </is>
      </c>
      <c r="C104" s="1724" t="n">
        <v>9.949999999999999</v>
      </c>
      <c r="D104" s="1725" t="n">
        <v>3.937</v>
      </c>
      <c r="E104" s="1725" t="n">
        <v>2.969</v>
      </c>
      <c r="F104" s="1726" t="inlineStr">
        <is>
          <t>N/A</t>
        </is>
      </c>
      <c r="G104" s="1726" t="inlineStr">
        <is>
          <t>N/A</t>
        </is>
      </c>
      <c r="H104" s="1726" t="inlineStr">
        <is>
          <t>130005012487</t>
        </is>
      </c>
      <c r="I104" s="1726" t="inlineStr">
        <is>
          <t>N/A</t>
        </is>
      </c>
    </row>
    <row r="105" ht="14.25" customHeight="1" s="862">
      <c r="A105" s="910" t="inlineStr">
        <is>
          <t>JT.#78</t>
        </is>
      </c>
      <c r="B105" s="910" t="inlineStr">
        <is>
          <t>3 1/2" TSH</t>
        </is>
      </c>
      <c r="C105" s="1129" t="n">
        <v>31</v>
      </c>
    </row>
    <row r="106" ht="14.25" customHeight="1" s="862">
      <c r="A106" s="910" t="inlineStr">
        <is>
          <t>JT.#79</t>
        </is>
      </c>
      <c r="B106" s="910" t="inlineStr">
        <is>
          <t>3 1/2" TSH</t>
        </is>
      </c>
      <c r="C106" s="1129" t="n">
        <v>31</v>
      </c>
    </row>
    <row r="107" ht="14.25" customHeight="1" s="862">
      <c r="A107" s="910" t="inlineStr">
        <is>
          <t>JT.#80</t>
        </is>
      </c>
      <c r="B107" s="910" t="inlineStr">
        <is>
          <t>3 1/2" TSH</t>
        </is>
      </c>
      <c r="C107" s="1129" t="n">
        <v>31</v>
      </c>
    </row>
    <row r="108" ht="14.25" customHeight="1" s="862">
      <c r="A108" s="910" t="inlineStr">
        <is>
          <t>JT.#81</t>
        </is>
      </c>
      <c r="B108" s="910" t="inlineStr">
        <is>
          <t>3 1/2" TSH</t>
        </is>
      </c>
      <c r="C108" s="1129" t="n">
        <v>31</v>
      </c>
    </row>
    <row r="109" ht="14.25" customHeight="1" s="862">
      <c r="A109" s="910" t="inlineStr">
        <is>
          <t>JT.#82</t>
        </is>
      </c>
      <c r="B109" s="910" t="inlineStr">
        <is>
          <t>3 1/2" TSH</t>
        </is>
      </c>
      <c r="C109" s="1129" t="n">
        <v>31</v>
      </c>
    </row>
    <row r="110" ht="14.25" customHeight="1" s="862">
      <c r="A110" s="910" t="inlineStr">
        <is>
          <t>JT.#83</t>
        </is>
      </c>
      <c r="B110" s="910" t="inlineStr">
        <is>
          <t>3 1/2" TSH</t>
        </is>
      </c>
      <c r="C110" s="1129" t="n">
        <v>31</v>
      </c>
    </row>
    <row r="111" ht="14.25" customHeight="1" s="862">
      <c r="A111" s="910" t="inlineStr">
        <is>
          <t>JT.#84</t>
        </is>
      </c>
      <c r="B111" s="910" t="inlineStr">
        <is>
          <t>3 1/2" TSH</t>
        </is>
      </c>
      <c r="C111" s="1129" t="n">
        <v>31</v>
      </c>
    </row>
    <row r="112" ht="14.25" customHeight="1" s="862">
      <c r="A112" s="910" t="inlineStr">
        <is>
          <t>JT.#85</t>
        </is>
      </c>
      <c r="B112" s="910" t="inlineStr">
        <is>
          <t>3 1/2" TSH</t>
        </is>
      </c>
      <c r="C112" s="1129" t="n">
        <v>31</v>
      </c>
    </row>
    <row r="113" ht="14.25" customHeight="1" s="862">
      <c r="A113" s="910" t="inlineStr">
        <is>
          <t>JT.#86</t>
        </is>
      </c>
      <c r="B113" s="910" t="inlineStr">
        <is>
          <t>3 1/2" TSH</t>
        </is>
      </c>
      <c r="C113" s="1129" t="n">
        <v>31</v>
      </c>
    </row>
    <row r="114" ht="14.25" customHeight="1" s="862">
      <c r="A114" s="910" t="inlineStr">
        <is>
          <t>JT.#87</t>
        </is>
      </c>
      <c r="B114" s="910" t="inlineStr">
        <is>
          <t>3 1/2" TSH</t>
        </is>
      </c>
      <c r="C114" s="1129" t="n">
        <v>31</v>
      </c>
    </row>
    <row r="115" ht="14.25" customHeight="1" s="862">
      <c r="A115" s="910" t="inlineStr">
        <is>
          <t>JT.#88</t>
        </is>
      </c>
      <c r="B115" s="910" t="inlineStr">
        <is>
          <t>3 1/2" TSH</t>
        </is>
      </c>
      <c r="C115" s="1129" t="n">
        <v>31</v>
      </c>
    </row>
    <row r="116" ht="14.25" customHeight="1" s="862">
      <c r="A116" s="910" t="inlineStr">
        <is>
          <t>JT.#89</t>
        </is>
      </c>
      <c r="B116" s="910" t="inlineStr">
        <is>
          <t>3 1/2" TSH</t>
        </is>
      </c>
      <c r="C116" s="1129" t="n">
        <v>31</v>
      </c>
    </row>
    <row r="117" ht="14.25" customHeight="1" s="862">
      <c r="A117" s="910" t="inlineStr">
        <is>
          <t>JT.#90</t>
        </is>
      </c>
      <c r="B117" s="910" t="inlineStr">
        <is>
          <t>3 1/2" TSH</t>
        </is>
      </c>
      <c r="C117" s="1129" t="n">
        <v>31</v>
      </c>
    </row>
    <row r="118" ht="14.25" customHeight="1" s="862">
      <c r="A118" s="910" t="inlineStr">
        <is>
          <t>JT.#91</t>
        </is>
      </c>
      <c r="B118" s="910" t="inlineStr">
        <is>
          <t>3 1/2" TSH</t>
        </is>
      </c>
      <c r="C118" s="1129" t="n">
        <v>31</v>
      </c>
    </row>
    <row r="119" ht="14.25" customHeight="1" s="862">
      <c r="A119" s="910" t="inlineStr">
        <is>
          <t>JT.#92</t>
        </is>
      </c>
      <c r="B119" s="910" t="inlineStr">
        <is>
          <t>3 1/2" TSH</t>
        </is>
      </c>
      <c r="C119" s="1129" t="n">
        <v>31</v>
      </c>
    </row>
    <row r="120" ht="14.25" customHeight="1" s="862">
      <c r="A120" s="910" t="inlineStr">
        <is>
          <t>JT.#93</t>
        </is>
      </c>
      <c r="B120" s="910" t="inlineStr">
        <is>
          <t>3 1/2" TSH</t>
        </is>
      </c>
      <c r="C120" s="1129" t="n">
        <v>31</v>
      </c>
    </row>
    <row r="121" ht="14.25" customHeight="1" s="862">
      <c r="A121" s="910" t="inlineStr">
        <is>
          <t>JT.#94</t>
        </is>
      </c>
      <c r="B121" s="910" t="inlineStr">
        <is>
          <t>3 1/2" TSH</t>
        </is>
      </c>
      <c r="C121" s="1129" t="n">
        <v>31</v>
      </c>
    </row>
    <row r="122" ht="14.25" customHeight="1" s="862">
      <c r="A122" s="910" t="inlineStr">
        <is>
          <t>JT.#95</t>
        </is>
      </c>
      <c r="B122" s="910" t="inlineStr">
        <is>
          <t>3 1/2" TSH</t>
        </is>
      </c>
      <c r="C122" s="1129" t="n">
        <v>31</v>
      </c>
    </row>
    <row r="123" ht="14.25" customHeight="1" s="862">
      <c r="A123" s="910" t="inlineStr">
        <is>
          <t>JT.#96</t>
        </is>
      </c>
      <c r="B123" s="910" t="inlineStr">
        <is>
          <t>3 1/2" TSH</t>
        </is>
      </c>
      <c r="C123" s="1129" t="n">
        <v>31</v>
      </c>
    </row>
    <row r="124" ht="14.25" customHeight="1" s="862">
      <c r="A124" s="910" t="inlineStr">
        <is>
          <t>JT.#97</t>
        </is>
      </c>
      <c r="B124" s="910" t="inlineStr">
        <is>
          <t>3 1/2" TSH</t>
        </is>
      </c>
      <c r="C124" s="1129" t="n">
        <v>31</v>
      </c>
    </row>
    <row r="125" ht="72" customHeight="1" s="862">
      <c r="A125" s="1727" t="inlineStr">
        <is>
          <t>D3</t>
        </is>
      </c>
      <c r="B125" s="1728" t="inlineStr">
        <is>
          <t>UPPER CONN. 3-1/2" VAM TOP BOX 9.2 PPF SN 28 110 KSI
DESCRIPTION: 5 FEET XOVER
SAP: 130005011340
SUPPLIER: TENARIS
LOWER CONN. 3-1/2" TSH BLUE PIN 9.2 PPF SN 28 110 KSI</t>
        </is>
      </c>
      <c r="C125" s="1729" t="n">
        <v>5.19</v>
      </c>
      <c r="D125" s="1730" t="n">
        <v>3.908</v>
      </c>
      <c r="E125" s="1730" t="n">
        <v>2.959</v>
      </c>
      <c r="F125" s="1731" t="inlineStr">
        <is>
          <t>N/A</t>
        </is>
      </c>
      <c r="G125" s="1731" t="inlineStr">
        <is>
          <t>N/A</t>
        </is>
      </c>
      <c r="H125" s="1731" t="inlineStr">
        <is>
          <t>130005011340</t>
        </is>
      </c>
      <c r="I125" s="1731" t="inlineStr">
        <is>
          <t>N/A</t>
        </is>
      </c>
    </row>
    <row r="126" ht="72" customHeight="1" s="862">
      <c r="B126" s="1728" t="inlineStr">
        <is>
          <t>UPPER CONN. 3-1/2" SENTINEL PRIME BOX 9.2 PPF TX28-110 KSI
DESCRIPTION: 5 FEET XOVER
SAP: 130013006385
SUPPLIER: TBX
LOWER CONN. 3-1/2" VAM TOP PIN 9.2 PPF TX28-110 KSI</t>
        </is>
      </c>
      <c r="C126" s="1729" t="n">
        <v>4.96</v>
      </c>
      <c r="D126" s="1730" t="n">
        <v>3.929</v>
      </c>
      <c r="E126" s="1730" t="n">
        <v>2.921</v>
      </c>
      <c r="F126" s="1731" t="inlineStr">
        <is>
          <t>N/A</t>
        </is>
      </c>
      <c r="G126" s="1731" t="inlineStr">
        <is>
          <t>N/A</t>
        </is>
      </c>
      <c r="H126" s="1731" t="inlineStr">
        <is>
          <t>130013006385</t>
        </is>
      </c>
      <c r="I126" s="1731" t="inlineStr">
        <is>
          <t>N/A</t>
        </is>
      </c>
    </row>
    <row r="127" ht="129" customHeight="1" s="862">
      <c r="B127" s="1728"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29" t="n">
        <v>8.69</v>
      </c>
      <c r="D127" s="1730" t="n">
        <v>5.82</v>
      </c>
      <c r="E127" s="1730" t="n">
        <v>2.9</v>
      </c>
      <c r="F127" s="1731" t="inlineStr">
        <is>
          <t>3205577</t>
        </is>
      </c>
      <c r="G127" s="1731" t="inlineStr">
        <is>
          <t>12600735-08</t>
        </is>
      </c>
      <c r="H127" s="1731" t="inlineStr">
        <is>
          <t>130010036652</t>
        </is>
      </c>
      <c r="I127" s="1731" t="inlineStr">
        <is>
          <t>N/A</t>
        </is>
      </c>
    </row>
    <row r="128" ht="72" customHeight="1" s="862">
      <c r="B128" s="1728" t="inlineStr">
        <is>
          <t>UPPER CONN. 3-1/2" VAM TOP BOX 9.2 PPF TX28- 110 KSI
DESCRIPTION: 5 FEET XOVER
SAP: 130013006383
SUPPLIER: TBX
LOWER CONN -3-1/2" SENTINEL PRIME PIN 9.2 PPF TX28-110 KSI</t>
        </is>
      </c>
      <c r="C128" s="1729" t="n">
        <v>4.88</v>
      </c>
      <c r="D128" s="1730" t="n">
        <v>3.908</v>
      </c>
      <c r="E128" s="1730" t="n">
        <v>2.959</v>
      </c>
      <c r="F128" s="1731" t="inlineStr">
        <is>
          <t>N/A</t>
        </is>
      </c>
      <c r="G128" s="1731" t="inlineStr">
        <is>
          <t>N/A</t>
        </is>
      </c>
      <c r="H128" s="1731" t="inlineStr">
        <is>
          <t>130013006383</t>
        </is>
      </c>
      <c r="I128" s="1731" t="inlineStr">
        <is>
          <t>N/A</t>
        </is>
      </c>
    </row>
    <row r="129" ht="72" customHeight="1" s="862">
      <c r="B129" s="1728" t="inlineStr">
        <is>
          <t>UPPER CONN. 3-1/2" TSH BLUE BOX 9.2 PPF SN 28 110 KSI
DESCRIPTION: 10 FEET XOVER
SAP: 130005012487
SUPPLIER: TENARIS
LOWER CONN. 3-1/2" VAM TOP PIN 9.2 PPF SN 28 110 KSI</t>
        </is>
      </c>
      <c r="C129" s="1729" t="n">
        <v>9.93</v>
      </c>
      <c r="D129" s="1730" t="n">
        <v>3.937</v>
      </c>
      <c r="E129" s="1730" t="n">
        <v>2.969</v>
      </c>
      <c r="F129" s="1731" t="inlineStr">
        <is>
          <t>N/A</t>
        </is>
      </c>
      <c r="G129" s="1731" t="inlineStr">
        <is>
          <t>N/A</t>
        </is>
      </c>
      <c r="H129" s="1731" t="inlineStr">
        <is>
          <t>130005012487</t>
        </is>
      </c>
      <c r="I129" s="1731" t="inlineStr">
        <is>
          <t>N/A</t>
        </is>
      </c>
    </row>
    <row r="130" ht="14.25" customHeight="1" s="862">
      <c r="A130" s="910" t="inlineStr">
        <is>
          <t>JT.#98</t>
        </is>
      </c>
      <c r="B130" s="910" t="inlineStr">
        <is>
          <t>3 1/2" TSH</t>
        </is>
      </c>
      <c r="C130" s="1129" t="n">
        <v>31</v>
      </c>
    </row>
    <row r="131" ht="14.25" customHeight="1" s="862">
      <c r="A131" s="910" t="inlineStr">
        <is>
          <t>JT.#99</t>
        </is>
      </c>
      <c r="B131" s="910" t="inlineStr">
        <is>
          <t>3 1/2" TSH</t>
        </is>
      </c>
      <c r="C131" s="1129" t="n">
        <v>31</v>
      </c>
    </row>
    <row r="132" ht="14.25" customHeight="1" s="862">
      <c r="A132" s="910" t="inlineStr">
        <is>
          <t>JT.#100</t>
        </is>
      </c>
      <c r="B132" s="910" t="inlineStr">
        <is>
          <t>3 1/2" TSH</t>
        </is>
      </c>
      <c r="C132" s="1129" t="n">
        <v>31</v>
      </c>
    </row>
    <row r="133" ht="14.25" customHeight="1" s="862">
      <c r="A133" s="910" t="inlineStr">
        <is>
          <t>JT.#101</t>
        </is>
      </c>
      <c r="B133" s="910" t="inlineStr">
        <is>
          <t>3 1/2" TSH</t>
        </is>
      </c>
      <c r="C133" s="1129" t="n">
        <v>31</v>
      </c>
    </row>
    <row r="134" ht="14.25" customHeight="1" s="862">
      <c r="A134" s="910" t="inlineStr">
        <is>
          <t>JT.#102</t>
        </is>
      </c>
      <c r="B134" s="910" t="inlineStr">
        <is>
          <t>3 1/2" TSH</t>
        </is>
      </c>
      <c r="C134" s="1129" t="n">
        <v>31</v>
      </c>
    </row>
    <row r="135" ht="14.25" customHeight="1" s="862">
      <c r="A135" s="910" t="inlineStr">
        <is>
          <t>JT.#103</t>
        </is>
      </c>
      <c r="B135" s="910" t="inlineStr">
        <is>
          <t>3 1/2" TSH</t>
        </is>
      </c>
      <c r="C135" s="1129" t="n">
        <v>31</v>
      </c>
    </row>
    <row r="136" ht="14.25" customHeight="1" s="862">
      <c r="A136" s="910" t="inlineStr">
        <is>
          <t>JT.#104</t>
        </is>
      </c>
      <c r="B136" s="910" t="inlineStr">
        <is>
          <t>3 1/2" TSH</t>
        </is>
      </c>
      <c r="C136" s="1129" t="n">
        <v>31</v>
      </c>
    </row>
    <row r="137" ht="14.25" customHeight="1" s="862">
      <c r="A137" s="910" t="inlineStr">
        <is>
          <t>JT.#105</t>
        </is>
      </c>
      <c r="B137" s="910" t="inlineStr">
        <is>
          <t>3 1/2" TSH</t>
        </is>
      </c>
      <c r="C137" s="1129" t="n">
        <v>31</v>
      </c>
    </row>
    <row r="138" ht="14.25" customHeight="1" s="862">
      <c r="A138" s="910" t="inlineStr">
        <is>
          <t>JT.#106</t>
        </is>
      </c>
      <c r="B138" s="910" t="inlineStr">
        <is>
          <t>3 1/2" TSH</t>
        </is>
      </c>
      <c r="C138" s="1129" t="n">
        <v>31</v>
      </c>
    </row>
    <row r="139" ht="14.25" customHeight="1" s="862">
      <c r="A139" s="910" t="inlineStr">
        <is>
          <t>JT.#107</t>
        </is>
      </c>
      <c r="B139" s="910" t="inlineStr">
        <is>
          <t>3 1/2" TSH</t>
        </is>
      </c>
      <c r="C139" s="1129" t="n">
        <v>31</v>
      </c>
    </row>
    <row r="140" ht="14.25" customHeight="1" s="862">
      <c r="A140" s="910" t="inlineStr">
        <is>
          <t>JT.#108</t>
        </is>
      </c>
      <c r="B140" s="910" t="inlineStr">
        <is>
          <t>3 1/2" TSH</t>
        </is>
      </c>
      <c r="C140" s="1129" t="n">
        <v>31</v>
      </c>
    </row>
    <row r="141" ht="14.25" customHeight="1" s="862">
      <c r="A141" s="910" t="inlineStr">
        <is>
          <t>JT.#109</t>
        </is>
      </c>
      <c r="B141" s="910" t="inlineStr">
        <is>
          <t>3 1/2" TSH</t>
        </is>
      </c>
      <c r="C141" s="1129" t="n">
        <v>31</v>
      </c>
    </row>
    <row r="142" ht="14.25" customHeight="1" s="862">
      <c r="A142" s="910" t="inlineStr">
        <is>
          <t>JT.#110</t>
        </is>
      </c>
      <c r="B142" s="910" t="inlineStr">
        <is>
          <t>3 1/2" TSH</t>
        </is>
      </c>
      <c r="C142" s="1129" t="n">
        <v>31</v>
      </c>
    </row>
    <row r="143" ht="14.25" customHeight="1" s="862">
      <c r="A143" s="910" t="inlineStr">
        <is>
          <t>JT.#111</t>
        </is>
      </c>
      <c r="B143" s="910" t="inlineStr">
        <is>
          <t>3 1/2" TSH</t>
        </is>
      </c>
      <c r="C143" s="1129" t="n">
        <v>31</v>
      </c>
    </row>
    <row r="144" ht="14.25" customHeight="1" s="862">
      <c r="A144" s="910" t="inlineStr">
        <is>
          <t>JT.#112</t>
        </is>
      </c>
      <c r="B144" s="910" t="inlineStr">
        <is>
          <t>3 1/2" TSH</t>
        </is>
      </c>
      <c r="C144" s="1129" t="n">
        <v>31</v>
      </c>
    </row>
    <row r="145" ht="14.25" customHeight="1" s="862">
      <c r="A145" s="910" t="inlineStr">
        <is>
          <t>JT.#113</t>
        </is>
      </c>
      <c r="B145" s="910" t="inlineStr">
        <is>
          <t>3 1/2" TSH</t>
        </is>
      </c>
      <c r="C145" s="1129" t="n">
        <v>31</v>
      </c>
    </row>
    <row r="146" ht="14.25" customHeight="1" s="862">
      <c r="A146" s="910" t="inlineStr">
        <is>
          <t>JT.#114</t>
        </is>
      </c>
      <c r="B146" s="910" t="inlineStr">
        <is>
          <t>3 1/2" TSH</t>
        </is>
      </c>
      <c r="C146" s="1129" t="n">
        <v>31</v>
      </c>
    </row>
    <row r="147" ht="14.25" customHeight="1" s="862">
      <c r="A147" s="910" t="inlineStr">
        <is>
          <t>JT.#115</t>
        </is>
      </c>
      <c r="B147" s="910" t="inlineStr">
        <is>
          <t>3 1/2" TSH</t>
        </is>
      </c>
      <c r="C147" s="1129" t="n">
        <v>31</v>
      </c>
    </row>
    <row r="148" ht="14.25" customHeight="1" s="862">
      <c r="A148" s="910" t="inlineStr">
        <is>
          <t>JT.#116</t>
        </is>
      </c>
      <c r="B148" s="910" t="inlineStr">
        <is>
          <t>3 1/2" TSH</t>
        </is>
      </c>
      <c r="C148" s="1129" t="n">
        <v>31</v>
      </c>
    </row>
    <row r="149" ht="14.25" customHeight="1" s="862">
      <c r="A149" s="910" t="inlineStr">
        <is>
          <t>JT.#117</t>
        </is>
      </c>
      <c r="B149" s="910" t="inlineStr">
        <is>
          <t>3 1/2" TSH</t>
        </is>
      </c>
      <c r="C149" s="1129" t="n">
        <v>31</v>
      </c>
    </row>
    <row r="150" ht="72" customHeight="1" s="862">
      <c r="A150" s="1732" t="inlineStr">
        <is>
          <t>D4</t>
        </is>
      </c>
      <c r="B150" s="1733" t="inlineStr">
        <is>
          <t>UPPER CONN. 3-1/2" VAM TOP BOX 9.2 PPF SN 28 110 KSI
DESCRIPTION: 5 FEET XOVER
SAP: 130005011340
SUPPLIER: TENARIS
LOWER CONN. 3-1/2" TSH BLUE PIN 9.2 PPF SN 28 110 KSI</t>
        </is>
      </c>
      <c r="C150" s="1734" t="n">
        <v>5.18</v>
      </c>
      <c r="D150" s="1735" t="n">
        <v>3.908</v>
      </c>
      <c r="E150" s="1735" t="n">
        <v>2.959</v>
      </c>
      <c r="F150" s="1736" t="inlineStr">
        <is>
          <t>N/A</t>
        </is>
      </c>
      <c r="G150" s="1736" t="inlineStr">
        <is>
          <t>N/A</t>
        </is>
      </c>
      <c r="H150" s="1736" t="inlineStr">
        <is>
          <t>130005011340</t>
        </is>
      </c>
      <c r="I150" s="1736" t="inlineStr">
        <is>
          <t>N/A</t>
        </is>
      </c>
    </row>
    <row r="151" ht="72" customHeight="1" s="862">
      <c r="B151" s="1733" t="inlineStr">
        <is>
          <t>UPPER CONN. 3-1/2" SENTINEL PRIME BOX 9.2 PPF TX28-110 KSI
DESCRIPTION: 5 FEET XOVER
SAP: 130013006385
SUPPLIER: TBX
LOWER CONN. 3-1/2" VAM TOP PIN 9.2 PPF TX28-110 KSI</t>
        </is>
      </c>
      <c r="C151" s="1734" t="n">
        <v>4.96</v>
      </c>
      <c r="D151" s="1735" t="n">
        <v>3.929</v>
      </c>
      <c r="E151" s="1735" t="n">
        <v>2.921</v>
      </c>
      <c r="F151" s="1736" t="inlineStr">
        <is>
          <t>N/A</t>
        </is>
      </c>
      <c r="G151" s="1736" t="inlineStr">
        <is>
          <t>N/A</t>
        </is>
      </c>
      <c r="H151" s="1736" t="inlineStr">
        <is>
          <t>130013006385</t>
        </is>
      </c>
      <c r="I151" s="1736" t="inlineStr">
        <is>
          <t>N/A</t>
        </is>
      </c>
    </row>
    <row r="152" ht="129" customHeight="1" s="862">
      <c r="B152" s="1733"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34" t="n">
        <v>8.69</v>
      </c>
      <c r="D152" s="1735" t="n">
        <v>5.82</v>
      </c>
      <c r="E152" s="1735" t="n">
        <v>2.9</v>
      </c>
      <c r="F152" s="1736" t="inlineStr">
        <is>
          <t>3205577</t>
        </is>
      </c>
      <c r="G152" s="1736" t="inlineStr">
        <is>
          <t>12696654-13</t>
        </is>
      </c>
      <c r="H152" s="1736" t="inlineStr">
        <is>
          <t>130010036652</t>
        </is>
      </c>
      <c r="I152" s="1736" t="inlineStr">
        <is>
          <t>N/A</t>
        </is>
      </c>
    </row>
    <row r="153" ht="72" customHeight="1" s="862">
      <c r="B153" s="1733" t="inlineStr">
        <is>
          <t>UPPER CONN. 3-1/2" VAM TOP BOX 9.2 PPF TX28- 110 KSI
DESCRIPTION: 10 FEET XOVER
SAP: 1130013006387
SUPPLIER: TBX
LOWER CONN-3-1/2" SENTINELPRIME PIN 9.2 PPF TX28110 KSI</t>
        </is>
      </c>
      <c r="C153" s="1734" t="n">
        <v>9.779999999999999</v>
      </c>
      <c r="D153" s="1735" t="n">
        <v>3.908</v>
      </c>
      <c r="E153" s="1735" t="n">
        <v>2.959</v>
      </c>
      <c r="F153" s="1736" t="inlineStr">
        <is>
          <t>N/A</t>
        </is>
      </c>
      <c r="G153" s="1736" t="inlineStr">
        <is>
          <t>N/A</t>
        </is>
      </c>
      <c r="H153" s="1736" t="inlineStr">
        <is>
          <t>1130013006387</t>
        </is>
      </c>
      <c r="I153" s="1736" t="inlineStr">
        <is>
          <t>N/A</t>
        </is>
      </c>
    </row>
    <row r="154" ht="72" customHeight="1" s="862">
      <c r="B154" s="1733" t="inlineStr">
        <is>
          <t>UPPER CONN. 3-1/2" TSH BLUE BOX 9.2 PPF SN 28 110 KSI
DESCRIPTION: 5 FEET XOVER
SAP: 130005011340
SUPPLIER: TENARIS
LOWER CONN. 3-1/2" VAM TOP PIN 9.2 PPF SN 28 110 KSI</t>
        </is>
      </c>
      <c r="C154" s="1734" t="n">
        <v>4.96</v>
      </c>
      <c r="D154" s="1735" t="n">
        <v>3.937</v>
      </c>
      <c r="E154" s="1735" t="n">
        <v>2.969</v>
      </c>
      <c r="F154" s="1736" t="inlineStr">
        <is>
          <t>N/A</t>
        </is>
      </c>
      <c r="G154" s="1736" t="inlineStr">
        <is>
          <t>N/A</t>
        </is>
      </c>
      <c r="H154" s="1736" t="inlineStr">
        <is>
          <t>130005011340</t>
        </is>
      </c>
      <c r="I154" s="1736" t="inlineStr">
        <is>
          <t>N/A</t>
        </is>
      </c>
    </row>
    <row r="155" ht="14.25" customHeight="1" s="862">
      <c r="A155" s="910" t="inlineStr">
        <is>
          <t>JT.#118</t>
        </is>
      </c>
      <c r="B155" s="910" t="inlineStr">
        <is>
          <t>3 1/2" TSH</t>
        </is>
      </c>
      <c r="C155" s="1129" t="n">
        <v>31</v>
      </c>
    </row>
    <row r="156" ht="14.25" customHeight="1" s="862">
      <c r="A156" s="910" t="inlineStr">
        <is>
          <t>JT.#119</t>
        </is>
      </c>
      <c r="B156" s="910" t="inlineStr">
        <is>
          <t>3 1/2" TSH</t>
        </is>
      </c>
      <c r="C156" s="1129" t="n">
        <v>31</v>
      </c>
    </row>
    <row r="157" ht="14.25" customHeight="1" s="862">
      <c r="A157" s="910" t="inlineStr">
        <is>
          <t>JT.#120</t>
        </is>
      </c>
      <c r="B157" s="910" t="inlineStr">
        <is>
          <t>3 1/2" TSH</t>
        </is>
      </c>
      <c r="C157" s="1129" t="n">
        <v>31</v>
      </c>
    </row>
    <row r="158" ht="14.25" customHeight="1" s="862">
      <c r="A158" s="910" t="inlineStr">
        <is>
          <t>JT.#121</t>
        </is>
      </c>
      <c r="B158" s="910" t="inlineStr">
        <is>
          <t>3 1/2" TSH</t>
        </is>
      </c>
      <c r="C158" s="1129" t="n">
        <v>31</v>
      </c>
    </row>
    <row r="159" ht="14.25" customHeight="1" s="862">
      <c r="A159" s="910" t="inlineStr">
        <is>
          <t>JT.#122</t>
        </is>
      </c>
      <c r="B159" s="910" t="inlineStr">
        <is>
          <t>3 1/2" TSH</t>
        </is>
      </c>
      <c r="C159" s="1129" t="n">
        <v>31</v>
      </c>
    </row>
    <row r="160" ht="14.25" customHeight="1" s="862">
      <c r="A160" s="910" t="inlineStr">
        <is>
          <t>JT.#123</t>
        </is>
      </c>
      <c r="B160" s="910" t="inlineStr">
        <is>
          <t>3 1/2" TSH</t>
        </is>
      </c>
      <c r="C160" s="1129" t="n">
        <v>31</v>
      </c>
    </row>
    <row r="161" ht="14.25" customHeight="1" s="862">
      <c r="A161" s="910" t="inlineStr">
        <is>
          <t>JT.#124</t>
        </is>
      </c>
      <c r="B161" s="910" t="inlineStr">
        <is>
          <t>3 1/2" TSH</t>
        </is>
      </c>
      <c r="C161" s="1129" t="n">
        <v>31</v>
      </c>
    </row>
    <row r="162" ht="14.25" customHeight="1" s="862">
      <c r="A162" s="910" t="inlineStr">
        <is>
          <t>JT.#125</t>
        </is>
      </c>
      <c r="B162" s="910" t="inlineStr">
        <is>
          <t>3 1/2" TSH</t>
        </is>
      </c>
      <c r="C162" s="1129" t="n">
        <v>31</v>
      </c>
    </row>
    <row r="163" ht="14.25" customHeight="1" s="862">
      <c r="A163" s="910" t="inlineStr">
        <is>
          <t>JT.#126</t>
        </is>
      </c>
      <c r="B163" s="910" t="inlineStr">
        <is>
          <t>3 1/2" TSH</t>
        </is>
      </c>
      <c r="C163" s="1129" t="n">
        <v>31</v>
      </c>
    </row>
    <row r="164" ht="14.25" customHeight="1" s="862">
      <c r="A164" s="910" t="inlineStr">
        <is>
          <t>JT.#127</t>
        </is>
      </c>
      <c r="B164" s="910" t="inlineStr">
        <is>
          <t>3 1/2" TSH</t>
        </is>
      </c>
      <c r="C164" s="1129" t="n">
        <v>31</v>
      </c>
    </row>
    <row r="165" ht="14.25" customHeight="1" s="862">
      <c r="A165" s="910" t="inlineStr">
        <is>
          <t>JT.#128</t>
        </is>
      </c>
      <c r="B165" s="910" t="inlineStr">
        <is>
          <t>3 1/2" TSH</t>
        </is>
      </c>
      <c r="C165" s="1129" t="n">
        <v>31</v>
      </c>
    </row>
    <row r="166" ht="14.25" customHeight="1" s="862">
      <c r="A166" s="910" t="inlineStr">
        <is>
          <t>JT.#129</t>
        </is>
      </c>
      <c r="B166" s="910" t="inlineStr">
        <is>
          <t>3 1/2" TSH</t>
        </is>
      </c>
      <c r="C166" s="1129" t="n">
        <v>31</v>
      </c>
    </row>
    <row r="167" ht="14.25" customHeight="1" s="862">
      <c r="A167" s="910" t="inlineStr">
        <is>
          <t>JT.#130</t>
        </is>
      </c>
      <c r="B167" s="910" t="inlineStr">
        <is>
          <t>3 1/2" TSH</t>
        </is>
      </c>
      <c r="C167" s="1129" t="n">
        <v>31</v>
      </c>
    </row>
    <row r="168" ht="14.25" customHeight="1" s="862">
      <c r="A168" s="910" t="inlineStr">
        <is>
          <t>JT.#131</t>
        </is>
      </c>
      <c r="B168" s="910" t="inlineStr">
        <is>
          <t>3 1/2" TSH</t>
        </is>
      </c>
      <c r="C168" s="1129" t="n">
        <v>31</v>
      </c>
    </row>
    <row r="169" ht="14.25" customHeight="1" s="862">
      <c r="A169" s="910" t="inlineStr">
        <is>
          <t>JT.#132</t>
        </is>
      </c>
      <c r="B169" s="910" t="inlineStr">
        <is>
          <t>3 1/2" TSH</t>
        </is>
      </c>
      <c r="C169" s="1129" t="n">
        <v>31</v>
      </c>
    </row>
    <row r="170" ht="14.25" customHeight="1" s="862">
      <c r="A170" s="910" t="inlineStr">
        <is>
          <t>JT.#133</t>
        </is>
      </c>
      <c r="B170" s="910" t="inlineStr">
        <is>
          <t>3 1/2" TSH</t>
        </is>
      </c>
      <c r="C170" s="1129" t="n">
        <v>31</v>
      </c>
    </row>
    <row r="171" ht="14.25" customHeight="1" s="862">
      <c r="A171" s="910" t="inlineStr">
        <is>
          <t>JT.#134</t>
        </is>
      </c>
      <c r="B171" s="910" t="inlineStr">
        <is>
          <t>3 1/2" TSH</t>
        </is>
      </c>
      <c r="C171" s="1129" t="n">
        <v>31</v>
      </c>
    </row>
    <row r="172" ht="14.25" customHeight="1" s="862">
      <c r="A172" s="910" t="inlineStr">
        <is>
          <t>JT.#135</t>
        </is>
      </c>
      <c r="B172" s="910" t="inlineStr">
        <is>
          <t>3 1/2" TSH</t>
        </is>
      </c>
      <c r="C172" s="1129" t="n">
        <v>31</v>
      </c>
    </row>
    <row r="173" ht="14.25" customHeight="1" s="862">
      <c r="A173" s="910" t="inlineStr">
        <is>
          <t>JT.#136</t>
        </is>
      </c>
      <c r="B173" s="910" t="inlineStr">
        <is>
          <t>3 1/2" TSH</t>
        </is>
      </c>
      <c r="C173" s="1129" t="n">
        <v>31</v>
      </c>
    </row>
    <row r="174" ht="14.25" customHeight="1" s="862">
      <c r="A174" s="910" t="inlineStr">
        <is>
          <t>JT.#137</t>
        </is>
      </c>
      <c r="B174" s="910" t="inlineStr">
        <is>
          <t>3 1/2" TSH</t>
        </is>
      </c>
      <c r="C174" s="1129" t="n">
        <v>31</v>
      </c>
    </row>
    <row r="175" ht="72" customHeight="1" s="862">
      <c r="A175" s="1737" t="inlineStr">
        <is>
          <t>F</t>
        </is>
      </c>
      <c r="B175" s="1738" t="inlineStr">
        <is>
          <t>UPPER CONN. 3-1/2" VAM TOP BOX 9.2 PPF SN 28 110 KSI
DESCRIPTION: 5 FEET XOVER
SAP: 130005011340
SUPPLIER: TENARIS
UPPER CONN. 3-1/2" TSH BLUE PIN 9.2 PPF SN 28 110 KSI</t>
        </is>
      </c>
      <c r="C175" s="1739" t="n">
        <v>5.02</v>
      </c>
      <c r="D175" s="1740" t="n">
        <v>3.908</v>
      </c>
      <c r="E175" s="1740" t="n">
        <v>2.959</v>
      </c>
      <c r="F175" s="1741" t="inlineStr">
        <is>
          <t>N/A</t>
        </is>
      </c>
      <c r="G175" s="1741" t="inlineStr">
        <is>
          <t>N/A</t>
        </is>
      </c>
      <c r="H175" s="1741" t="inlineStr">
        <is>
          <t>130005011340</t>
        </is>
      </c>
      <c r="I175" s="1741" t="inlineStr">
        <is>
          <t>N/A</t>
        </is>
      </c>
    </row>
    <row r="176" ht="100.5" customHeight="1" s="862">
      <c r="B176" s="1738" t="inlineStr">
        <is>
          <t>UPPER CONN. 3-1/2" VAM TOP 9.2#PPF INCOLOY 925 BOX
DESCRIPTION: FLOW COUPLING
PN: 2996124
S/N: 130777-04-001
SAP: 130010035671
S UPPLIER: WEATHERFORD
LOWER CONN. 3-1/2" VAM TOP 9.2#PPF</t>
        </is>
      </c>
      <c r="C176" s="1739" t="n">
        <v>5.75</v>
      </c>
      <c r="D176" s="1740" t="n">
        <v>3.937</v>
      </c>
      <c r="E176" s="1740" t="n">
        <v>2.949</v>
      </c>
      <c r="F176" s="1741" t="inlineStr">
        <is>
          <t>2996124</t>
        </is>
      </c>
      <c r="G176" s="1741" t="inlineStr">
        <is>
          <t>130777-04-001</t>
        </is>
      </c>
      <c r="H176" s="1741" t="inlineStr">
        <is>
          <t>130010035671</t>
        </is>
      </c>
      <c r="I176" s="1741" t="inlineStr">
        <is>
          <t>N/A</t>
        </is>
      </c>
    </row>
    <row r="177" ht="144" customHeight="1" s="862">
      <c r="B177" s="1738" t="inlineStr">
        <is>
          <t>UPPER CONN. 3-1/2" VAM TOP 9.2#PPF
INCOLOY 925
BOX
DESCRIPTION: WEATHERFORD ASSY, TRSV,3.5WZPE-10
2.813WOR,2kSD,9.2# VAM TOP, WN302
PN: 2980845
S/N: 12777594-01
SAP: 130010038007
SUPPLIER: WEATHERFORD
LOWER CONN. 3-1/2" VAM TOP 9.2#PPF</t>
        </is>
      </c>
      <c r="C177" s="1739" t="n">
        <v>4.44</v>
      </c>
      <c r="D177" s="1740" t="n">
        <v>5.46</v>
      </c>
      <c r="E177" s="1740" t="n">
        <v>2.813</v>
      </c>
      <c r="F177" s="1741" t="inlineStr">
        <is>
          <t>2980845</t>
        </is>
      </c>
      <c r="G177" s="1741" t="inlineStr">
        <is>
          <t>12777594-01</t>
        </is>
      </c>
      <c r="H177" s="1741" t="inlineStr">
        <is>
          <t>130010038007</t>
        </is>
      </c>
      <c r="I177" s="1741" t="inlineStr">
        <is>
          <t>N/A</t>
        </is>
      </c>
    </row>
    <row r="178" ht="129" customHeight="1" s="862">
      <c r="B178" s="1738" t="inlineStr">
        <is>
          <t>UPPER CONN. 3-1/2" VAM TOP 9.2#PPF
INCOLOY 925
BOX
DESCRIPTION: FLOW COUPLING
P/N: 2996124
S/N: 130777-02-002
SAP: 130010035671
SUPPLIER: WEATHERFORD
LOWER CONN. 3-1/2" VAM TOP 9.2#PPF</t>
        </is>
      </c>
      <c r="C178" s="1739" t="n">
        <v>5.75</v>
      </c>
      <c r="D178" s="1740" t="n">
        <v>3.937</v>
      </c>
      <c r="E178" s="1740" t="n">
        <v>2.949</v>
      </c>
      <c r="F178" s="1741" t="inlineStr">
        <is>
          <t>2996124</t>
        </is>
      </c>
      <c r="G178" s="1741" t="inlineStr">
        <is>
          <t>130777-02-002</t>
        </is>
      </c>
      <c r="H178" s="1741" t="inlineStr">
        <is>
          <t>130010035671</t>
        </is>
      </c>
      <c r="I178" s="1741" t="inlineStr">
        <is>
          <t>N/A</t>
        </is>
      </c>
    </row>
    <row r="179" ht="72" customHeight="1" s="862">
      <c r="B179" s="1738" t="inlineStr">
        <is>
          <t>UPPER CONN. 3-1/2" TSH BLUE BOX 9.2 PPF SN 28 110 KSI
DESCRIPTION: 10 FEET XOVER
SAP: 130005012487
SUPPLIER: TENARIS
LOWER CONN. 3-1/2" VAM TOP PIN 9.2 PPF SN 28 110 KSI</t>
        </is>
      </c>
      <c r="C179" s="1739" t="n">
        <v>9.93</v>
      </c>
      <c r="D179" s="1740" t="n">
        <v>3.937</v>
      </c>
      <c r="E179" s="1740" t="n">
        <v>2.969</v>
      </c>
      <c r="F179" s="1741" t="inlineStr">
        <is>
          <t>N/A</t>
        </is>
      </c>
      <c r="G179" s="1741" t="inlineStr">
        <is>
          <t>N/A</t>
        </is>
      </c>
      <c r="H179" s="1741" t="inlineStr">
        <is>
          <t>130005012487</t>
        </is>
      </c>
      <c r="I179" s="1741" t="inlineStr">
        <is>
          <t>N/A</t>
        </is>
      </c>
    </row>
    <row r="180" ht="14.25" customHeight="1" s="862">
      <c r="A180" s="910" t="inlineStr">
        <is>
          <t>JT.#138</t>
        </is>
      </c>
      <c r="B180" s="910" t="inlineStr">
        <is>
          <t>3 1/2" TSH</t>
        </is>
      </c>
      <c r="C180" s="1129" t="n">
        <v>31</v>
      </c>
    </row>
    <row r="181" ht="14.25" customHeight="1" s="862">
      <c r="A181" s="910" t="inlineStr">
        <is>
          <t>JT.#139</t>
        </is>
      </c>
      <c r="B181" s="910" t="inlineStr">
        <is>
          <t>3 1/2" TSH</t>
        </is>
      </c>
      <c r="C181" s="1129" t="n">
        <v>31</v>
      </c>
    </row>
    <row r="182" ht="14.25" customHeight="1" s="862">
      <c r="A182" s="910" t="inlineStr">
        <is>
          <t>JT.#140</t>
        </is>
      </c>
      <c r="B182" s="910" t="inlineStr">
        <is>
          <t>3 1/2" TSH</t>
        </is>
      </c>
      <c r="C182" s="1129" t="n">
        <v>31</v>
      </c>
    </row>
    <row r="183" ht="14.25" customHeight="1" s="862">
      <c r="A183" s="910" t="inlineStr">
        <is>
          <t>JT.#141</t>
        </is>
      </c>
      <c r="B183" s="910" t="inlineStr">
        <is>
          <t>3 1/2" TSH</t>
        </is>
      </c>
      <c r="C183" s="1129" t="n">
        <v>31</v>
      </c>
    </row>
    <row r="184" ht="14.25" customHeight="1" s="862">
      <c r="A184" s="910" t="inlineStr">
        <is>
          <t>JT.#142</t>
        </is>
      </c>
      <c r="B184" s="910" t="inlineStr">
        <is>
          <t>3 1/2" TSH</t>
        </is>
      </c>
      <c r="C184" s="1129" t="n">
        <v>31</v>
      </c>
    </row>
    <row r="185" ht="72" customHeight="1" s="862">
      <c r="A185" s="1742" t="inlineStr">
        <is>
          <t>F - 1</t>
        </is>
      </c>
      <c r="B185" s="1743" t="inlineStr">
        <is>
          <t>UPPER CONN. 3-1/2" TENARIS BLUE 9.2#PPF SN 28 110 KSI
DESCRIPTION: 5 FEET PUP JOINT
SAP: 130005011338
SUPPLIER:TENARIS
LOWER CONN. 3-1/2" TENARIS BLUE 9.2#PPF SN 28 110 KSI</t>
        </is>
      </c>
      <c r="C185" s="1744" t="n">
        <v>5.08</v>
      </c>
      <c r="D185" s="1745" t="n">
        <v>3.937</v>
      </c>
      <c r="E185" s="1745" t="n">
        <v>2.969</v>
      </c>
      <c r="F185" s="1746" t="inlineStr">
        <is>
          <t>N/A</t>
        </is>
      </c>
      <c r="G185" s="1746" t="inlineStr">
        <is>
          <t>N/A</t>
        </is>
      </c>
      <c r="H185" s="1746" t="inlineStr">
        <is>
          <t>130005011338</t>
        </is>
      </c>
      <c r="I185" s="1746" t="inlineStr">
        <is>
          <t>N/A</t>
        </is>
      </c>
    </row>
    <row r="186" ht="72" customHeight="1" s="862">
      <c r="B186" s="1743" t="inlineStr">
        <is>
          <t>UPPER CONN. 4-1/2" VAM TOP 12.6 #PPF SN 28 120 KSI BOX
DESCRIPTION : X OVER
4 1/2 PIN TOP X 3 1/2 PIN BTM
SAP: 130005012767 SUPPLIER: TENARIS
LOWER CONN. 3-1/2" TENARIS BLUE 9.2#PPF SN 28 120 KSI PIN</t>
        </is>
      </c>
      <c r="C186" s="1744" t="n">
        <v>2.48</v>
      </c>
      <c r="D186" s="1745" t="n">
        <v>4.5</v>
      </c>
      <c r="E186" s="1745" t="n">
        <v>2.969</v>
      </c>
      <c r="F186" s="1746" t="inlineStr">
        <is>
          <t>N/A</t>
        </is>
      </c>
      <c r="G186" s="1746" t="inlineStr">
        <is>
          <t>N/A</t>
        </is>
      </c>
      <c r="H186" s="1746" t="inlineStr">
        <is>
          <t>130005012767</t>
        </is>
      </c>
      <c r="I186" s="1746" t="inlineStr">
        <is>
          <t>N/A</t>
        </is>
      </c>
    </row>
    <row r="187" ht="114.75" customHeight="1" s="862">
      <c r="B187" s="1743"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44" t="n">
        <v>1.9</v>
      </c>
      <c r="D187" s="1745" t="n">
        <v>11</v>
      </c>
      <c r="E187" s="1745" t="n">
        <v>3.9</v>
      </c>
      <c r="F187" s="1746" t="inlineStr">
        <is>
          <t>R893330-1ADC11 REV D</t>
        </is>
      </c>
      <c r="G187" s="1746" t="inlineStr">
        <is>
          <t>ADWHT80698-05</t>
        </is>
      </c>
      <c r="H187" s="1746" t="inlineStr">
        <is>
          <t>130010044633</t>
        </is>
      </c>
      <c r="I187" s="1746" t="inlineStr">
        <is>
          <t>N/A</t>
        </is>
      </c>
    </row>
    <row r="188" ht="86.25" customHeight="1" s="862">
      <c r="B188" s="1743" t="inlineStr">
        <is>
          <t>UPPER CONN. 4-1/2" VAMTOP 12.6# L80
Box
DESCRIPTION: 30' LANDING JOINT
SAP: 130005009160
SUPPLIER:VAM
LOWER CONN. 4-1/2" VAMTOP 12.6# L80 PIN</t>
        </is>
      </c>
      <c r="C188" s="1744" t="n">
        <v>24.82</v>
      </c>
      <c r="D188" s="1745" t="n">
        <v>4.937</v>
      </c>
      <c r="E188" s="1745" t="n">
        <v>3.913</v>
      </c>
      <c r="F188" s="1746" t="inlineStr">
        <is>
          <t>N/A</t>
        </is>
      </c>
      <c r="G188" s="1746" t="inlineStr">
        <is>
          <t>N/A</t>
        </is>
      </c>
      <c r="H188" s="1746" t="inlineStr">
        <is>
          <t>130005009160</t>
        </is>
      </c>
      <c r="I188" s="1746" t="inlineStr">
        <is>
          <t>N/A</t>
        </is>
      </c>
    </row>
    <row r="190" ht="90.75" customHeight="1" s="862">
      <c r="A190" s="1747" t="inlineStr">
        <is>
          <t>A</t>
        </is>
      </c>
      <c r="B190" s="1748" t="inlineStr">
        <is>
          <t>UPPER CONN. 3-1/2" VAM TOP 9.2#PPF BOX VM 28 110 KSI
DESCRIPTION: WIRELINE ENTRY GUIDE
SN: 16339547-10-008
PN 2996481
SAP: 130010036277
SUPPLIER: WEATHERFORD</t>
        </is>
      </c>
      <c r="C190" s="1749" t="n">
        <v>0.6</v>
      </c>
      <c r="D190" s="1750" t="n">
        <v>3.937</v>
      </c>
      <c r="E190" s="1750" t="n">
        <v>2.949</v>
      </c>
      <c r="F190" s="1751" t="inlineStr">
        <is>
          <t>2996481</t>
        </is>
      </c>
      <c r="G190" s="1751" t="inlineStr">
        <is>
          <t>16339547-10-008</t>
        </is>
      </c>
      <c r="H190" s="1751" t="inlineStr">
        <is>
          <t>130010036277</t>
        </is>
      </c>
      <c r="I190" s="1751" t="inlineStr">
        <is>
          <t>N/A</t>
        </is>
      </c>
    </row>
    <row r="191" ht="75.75" customHeight="1" s="862">
      <c r="B191" s="1748" t="inlineStr">
        <is>
          <t>UPPER CONN. 3-1/2" TSH BLUE BOX 9.2 PPF SN 28 110 KSI
DESCRIPTION: 5 FEET XOVER
SAP: 130005011340
SUPPLIER: TENARIS
LOWER CONN. 3-1/2" VAM TOP PIN 9.2 PPF SN 28 110 KSI</t>
        </is>
      </c>
      <c r="C191" s="1749" t="n">
        <v>4.96</v>
      </c>
      <c r="D191" s="1750" t="n">
        <v>3.937</v>
      </c>
      <c r="E191" s="1750" t="n">
        <v>2.969</v>
      </c>
      <c r="F191" s="1751" t="inlineStr">
        <is>
          <t>N/A</t>
        </is>
      </c>
      <c r="G191" s="1751" t="inlineStr">
        <is>
          <t>N/A</t>
        </is>
      </c>
      <c r="H191" s="1751" t="inlineStr">
        <is>
          <t>130005011340</t>
        </is>
      </c>
      <c r="I191" s="1751" t="inlineStr">
        <is>
          <t>N/A</t>
        </is>
      </c>
    </row>
    <row r="192" ht="14.25" customHeight="1" s="862">
      <c r="A192" s="910" t="inlineStr">
        <is>
          <t>JT.#1</t>
        </is>
      </c>
      <c r="B192" s="910" t="inlineStr">
        <is>
          <t>3-1/2" TUBING 9.2 LB/FT ALLOY 28 TSH BL</t>
        </is>
      </c>
      <c r="C192" s="1129" t="n">
        <v>31</v>
      </c>
    </row>
    <row r="193" ht="14.25" customHeight="1" s="862">
      <c r="A193" s="910" t="inlineStr">
        <is>
          <t>JT.#2</t>
        </is>
      </c>
      <c r="B193" s="910" t="inlineStr">
        <is>
          <t>3-1/2" TUBING 9.2 LB/FT ALLOY 28 TSH BL</t>
        </is>
      </c>
      <c r="C193" s="1129" t="n">
        <v>31</v>
      </c>
    </row>
    <row r="194" ht="14.25" customHeight="1" s="862">
      <c r="A194" s="910" t="inlineStr">
        <is>
          <t>JT.#3</t>
        </is>
      </c>
      <c r="B194" s="910" t="inlineStr">
        <is>
          <t>3-1/2" TUBING 9.2 LB/FT ALLOY 28 TSH BL</t>
        </is>
      </c>
      <c r="C194" s="1129" t="n">
        <v>31</v>
      </c>
    </row>
    <row r="195" ht="14.25" customHeight="1" s="862">
      <c r="A195" s="910" t="inlineStr">
        <is>
          <t>JT.#4</t>
        </is>
      </c>
      <c r="B195" s="910" t="inlineStr">
        <is>
          <t>3-1/2" TUBING 9.2 LB/FT ALLOY 28 TSH BL</t>
        </is>
      </c>
      <c r="C195" s="1129" t="n">
        <v>31</v>
      </c>
    </row>
    <row r="196" ht="14.25" customHeight="1" s="862">
      <c r="A196" s="910" t="inlineStr">
        <is>
          <t>JT.#5</t>
        </is>
      </c>
      <c r="B196" s="910" t="inlineStr">
        <is>
          <t>3-1/2" TUBING 9.2 LB/FT ALLOY 28 TSH BL</t>
        </is>
      </c>
      <c r="C196" s="1129" t="n">
        <v>31</v>
      </c>
    </row>
    <row r="197" ht="14.25" customHeight="1" s="862">
      <c r="A197" s="910" t="inlineStr">
        <is>
          <t>JT.#6</t>
        </is>
      </c>
      <c r="B197" s="910" t="inlineStr">
        <is>
          <t>3-1/2" TUBING 9.2 LB/FT ALLOY 28 TSH BL</t>
        </is>
      </c>
      <c r="C197" s="1129" t="n">
        <v>31</v>
      </c>
    </row>
    <row r="198" ht="14.25" customHeight="1" s="862">
      <c r="A198" s="910" t="inlineStr">
        <is>
          <t>JT.#7</t>
        </is>
      </c>
      <c r="B198" s="910" t="inlineStr">
        <is>
          <t>3-1/2" TUBING 9.2 LB/FT ALLOY 28 TSH BL</t>
        </is>
      </c>
      <c r="C198" s="1129" t="n">
        <v>31</v>
      </c>
    </row>
    <row r="199" ht="14.25" customHeight="1" s="862">
      <c r="A199" s="910" t="inlineStr">
        <is>
          <t>JT.#8</t>
        </is>
      </c>
      <c r="B199" s="910" t="inlineStr">
        <is>
          <t>3-1/2" TUBING 9.2 LB/FT ALLOY 28 TSH BL</t>
        </is>
      </c>
      <c r="C199" s="1129" t="n">
        <v>31</v>
      </c>
    </row>
    <row r="200" ht="14.25" customHeight="1" s="862">
      <c r="A200" s="910" t="inlineStr">
        <is>
          <t>JT.#9</t>
        </is>
      </c>
      <c r="B200" s="910" t="inlineStr">
        <is>
          <t>3-1/2" TUBING 9.2 LB/FT ALLOY 28 TSH BL</t>
        </is>
      </c>
      <c r="C200" s="1129" t="n">
        <v>31</v>
      </c>
    </row>
    <row r="201" ht="14.25" customHeight="1" s="862">
      <c r="A201" s="910" t="inlineStr">
        <is>
          <t>JT.#10</t>
        </is>
      </c>
      <c r="B201" s="910" t="inlineStr">
        <is>
          <t>3-1/2" TUBING 9.2 LB/FT ALLOY 28 TSH BL</t>
        </is>
      </c>
      <c r="C201" s="1129" t="n">
        <v>31</v>
      </c>
    </row>
    <row r="202" ht="14.25" customHeight="1" s="862">
      <c r="A202" s="910" t="inlineStr">
        <is>
          <t>JT.#11</t>
        </is>
      </c>
      <c r="B202" s="910" t="inlineStr">
        <is>
          <t>3-1/2" TUBING 9.2 LB/FT ALLOY 28 TSH BL</t>
        </is>
      </c>
      <c r="C202" s="1129" t="n">
        <v>31</v>
      </c>
    </row>
    <row r="203" ht="14.25" customHeight="1" s="862">
      <c r="A203" s="910" t="inlineStr">
        <is>
          <t>JT.#12</t>
        </is>
      </c>
      <c r="B203" s="910" t="inlineStr">
        <is>
          <t>3-1/2" TUBING 9.2 LB/FT ALLOY 28 TSH BL</t>
        </is>
      </c>
      <c r="C203" s="1129" t="n">
        <v>31</v>
      </c>
    </row>
    <row r="204" ht="14.25" customHeight="1" s="862">
      <c r="A204" s="910" t="inlineStr">
        <is>
          <t>JT.#13</t>
        </is>
      </c>
      <c r="B204" s="910" t="inlineStr">
        <is>
          <t>3-1/2" TUBING 9.2 LB/FT ALLOY 28 TSH BL</t>
        </is>
      </c>
      <c r="C204" s="1129" t="n">
        <v>31</v>
      </c>
    </row>
    <row r="205" ht="14.25" customHeight="1" s="862">
      <c r="A205" s="910" t="inlineStr">
        <is>
          <t>JT.#14</t>
        </is>
      </c>
      <c r="B205" s="910" t="inlineStr">
        <is>
          <t>3-1/2" TUBING 9.2 LB/FT ALLOY 28 TSH BL</t>
        </is>
      </c>
      <c r="C205" s="1129" t="n">
        <v>31</v>
      </c>
    </row>
    <row r="206" ht="14.25" customHeight="1" s="862">
      <c r="A206" s="910" t="inlineStr">
        <is>
          <t>JT.#15</t>
        </is>
      </c>
      <c r="B206" s="910" t="inlineStr">
        <is>
          <t>3-1/2" TUBING 9.2 LB/FT ALLOY 28 TSH BL</t>
        </is>
      </c>
      <c r="C206" s="1129" t="n">
        <v>31</v>
      </c>
    </row>
    <row r="207" ht="14.25" customHeight="1" s="862">
      <c r="A207" s="910" t="inlineStr">
        <is>
          <t>JT.#16</t>
        </is>
      </c>
      <c r="B207" s="910" t="inlineStr">
        <is>
          <t>3-1/2" TUBING 9.2 LB/FT ALLOY 28 TSH BL</t>
        </is>
      </c>
      <c r="C207" s="1129" t="n">
        <v>31</v>
      </c>
    </row>
    <row r="208" ht="14.25" customHeight="1" s="862">
      <c r="A208" s="910" t="inlineStr">
        <is>
          <t>JT.#17</t>
        </is>
      </c>
      <c r="B208" s="910" t="inlineStr">
        <is>
          <t>3-1/2" TUBING 9.2 LB/FT ALLOY 28 TSH BL</t>
        </is>
      </c>
      <c r="C208" s="1129" t="n">
        <v>31</v>
      </c>
    </row>
    <row r="209" ht="14.25" customHeight="1" s="862">
      <c r="A209" s="910" t="inlineStr">
        <is>
          <t>JT.#18</t>
        </is>
      </c>
      <c r="B209" s="910" t="inlineStr">
        <is>
          <t>3-1/2" TUBING 9.2 LB/FT ALLOY 28 TSH BL</t>
        </is>
      </c>
      <c r="C209" s="1129" t="n">
        <v>31</v>
      </c>
    </row>
    <row r="210" ht="14.25" customHeight="1" s="862">
      <c r="A210" s="910" t="inlineStr">
        <is>
          <t>JT.#19</t>
        </is>
      </c>
      <c r="B210" s="910" t="inlineStr">
        <is>
          <t>3-1/2" TUBING 9.2 LB/FT ALLOY 28 TSH BL</t>
        </is>
      </c>
      <c r="C210" s="1129" t="n">
        <v>31</v>
      </c>
    </row>
    <row r="211" ht="14.25" customHeight="1" s="862">
      <c r="A211" s="910" t="inlineStr">
        <is>
          <t>JT.#20</t>
        </is>
      </c>
      <c r="B211" s="910" t="inlineStr">
        <is>
          <t>3-1/2" TUBING 9.2 LB/FT ALLOY 28 TSH BL</t>
        </is>
      </c>
      <c r="C211" s="1129" t="n">
        <v>31</v>
      </c>
    </row>
    <row r="212" ht="14.25" customHeight="1" s="862">
      <c r="A212" s="910" t="inlineStr">
        <is>
          <t>JT.#21</t>
        </is>
      </c>
      <c r="B212" s="910" t="inlineStr">
        <is>
          <t>3-1/2" TUBING 9.2 LB/FT ALLOY 28 TSH BL</t>
        </is>
      </c>
      <c r="C212" s="1129" t="n">
        <v>31</v>
      </c>
    </row>
    <row r="213" ht="14.25" customHeight="1" s="862">
      <c r="A213" s="910" t="inlineStr">
        <is>
          <t>JT.#22</t>
        </is>
      </c>
      <c r="B213" s="910" t="inlineStr">
        <is>
          <t>3-1/2" TUBING 9.2 LB/FT ALLOY 28 TSH BL</t>
        </is>
      </c>
      <c r="C213" s="1129" t="n">
        <v>31</v>
      </c>
    </row>
    <row r="214" ht="14.25" customHeight="1" s="862">
      <c r="A214" s="910" t="inlineStr">
        <is>
          <t>JT.#23</t>
        </is>
      </c>
      <c r="B214" s="910" t="inlineStr">
        <is>
          <t>3-1/2" TUBING 9.2 LB/FT ALLOY 28 TSH BL</t>
        </is>
      </c>
      <c r="C214" s="1129" t="n">
        <v>31</v>
      </c>
    </row>
    <row r="215" ht="14.25" customHeight="1" s="862">
      <c r="A215" s="910" t="inlineStr">
        <is>
          <t>JT.#24</t>
        </is>
      </c>
      <c r="B215" s="910" t="inlineStr">
        <is>
          <t>3-1/2" TUBING 9.2 LB/FT ALLOY 28 TSH BL</t>
        </is>
      </c>
      <c r="C215" s="1129" t="n">
        <v>31</v>
      </c>
    </row>
    <row r="216" ht="14.25" customHeight="1" s="862">
      <c r="A216" s="910" t="inlineStr">
        <is>
          <t>JT.#25</t>
        </is>
      </c>
      <c r="B216" s="910" t="inlineStr">
        <is>
          <t>3-1/2" TUBING 9.2 LB/FT ALLOY 28 TSH BL</t>
        </is>
      </c>
      <c r="C216" s="1129" t="n">
        <v>31</v>
      </c>
    </row>
    <row r="217" ht="14.25" customHeight="1" s="862">
      <c r="A217" s="910" t="inlineStr">
        <is>
          <t>JT.#26</t>
        </is>
      </c>
      <c r="B217" s="910" t="inlineStr">
        <is>
          <t>3-1/2" TUBING 9.2 LB/FT ALLOY 28 TSH BL</t>
        </is>
      </c>
      <c r="C217" s="1129" t="n">
        <v>31</v>
      </c>
    </row>
    <row r="218" ht="14.25" customHeight="1" s="862">
      <c r="A218" s="910" t="inlineStr">
        <is>
          <t>JT.#27</t>
        </is>
      </c>
      <c r="B218" s="910" t="inlineStr">
        <is>
          <t>3-1/2" TUBING 9.2 LB/FT ALLOY 28 TSH BL</t>
        </is>
      </c>
      <c r="C218" s="1129" t="n">
        <v>31</v>
      </c>
    </row>
    <row r="219" ht="14.25" customHeight="1" s="862">
      <c r="A219" s="910" t="inlineStr">
        <is>
          <t>JT.#28</t>
        </is>
      </c>
      <c r="B219" s="910" t="inlineStr">
        <is>
          <t>3-1/2" TUBING 9.2 LB/FT ALLOY 28 TSH BL</t>
        </is>
      </c>
      <c r="C219" s="1129" t="n">
        <v>31</v>
      </c>
    </row>
    <row r="220" ht="14.25" customHeight="1" s="862">
      <c r="A220" s="910" t="inlineStr">
        <is>
          <t>JT.#29</t>
        </is>
      </c>
      <c r="B220" s="910" t="inlineStr">
        <is>
          <t>3-1/2" TUBING 9.2 LB/FT ALLOY 28 TSH BL</t>
        </is>
      </c>
      <c r="C220" s="1129" t="n">
        <v>31</v>
      </c>
    </row>
    <row r="221" ht="14.25" customHeight="1" s="862">
      <c r="A221" s="910" t="inlineStr">
        <is>
          <t>JT.#30</t>
        </is>
      </c>
      <c r="B221" s="910" t="inlineStr">
        <is>
          <t>3-1/2" TUBING 9.2 LB/FT ALLOY 28 TSH BL</t>
        </is>
      </c>
      <c r="C221" s="1129" t="n">
        <v>31</v>
      </c>
    </row>
    <row r="222" ht="14.25" customHeight="1" s="862">
      <c r="A222" s="910" t="inlineStr">
        <is>
          <t>JT.#31</t>
        </is>
      </c>
      <c r="B222" s="910" t="inlineStr">
        <is>
          <t>3-1/2" TUBING 9.2 LB/FT ALLOY 28 TSH BL</t>
        </is>
      </c>
      <c r="C222" s="1129" t="n">
        <v>31</v>
      </c>
    </row>
    <row r="223" ht="14.25" customHeight="1" s="862">
      <c r="A223" s="910" t="inlineStr">
        <is>
          <t>JT.#32</t>
        </is>
      </c>
      <c r="B223" s="910" t="inlineStr">
        <is>
          <t>3-1/2" TUBING 9.2 LB/FT ALLOY 28 TSH BL</t>
        </is>
      </c>
      <c r="C223" s="1129" t="n">
        <v>31</v>
      </c>
    </row>
    <row r="224" ht="14.25" customHeight="1" s="862">
      <c r="A224" s="910" t="inlineStr">
        <is>
          <t>JT.#33</t>
        </is>
      </c>
      <c r="B224" s="910" t="inlineStr">
        <is>
          <t>3-1/2" TUBING 9.2 LB/FT ALLOY 28 TSH BL</t>
        </is>
      </c>
      <c r="C224" s="1129" t="n">
        <v>31</v>
      </c>
    </row>
    <row r="225" ht="14.25" customHeight="1" s="862">
      <c r="A225" s="910" t="inlineStr">
        <is>
          <t>JT.#34</t>
        </is>
      </c>
      <c r="B225" s="910" t="inlineStr">
        <is>
          <t>3-1/2" TUBING 9.2 LB/FT ALLOY 28 TSH BL</t>
        </is>
      </c>
      <c r="C225" s="1129" t="n">
        <v>31</v>
      </c>
    </row>
    <row r="226" ht="14.25" customHeight="1" s="862">
      <c r="A226" s="910" t="inlineStr">
        <is>
          <t>JT.#35</t>
        </is>
      </c>
      <c r="B226" s="910" t="inlineStr">
        <is>
          <t>3-1/2" TUBING 9.2 LB/FT ALLOY 28 TSH BL</t>
        </is>
      </c>
      <c r="C226" s="1129" t="n">
        <v>31</v>
      </c>
    </row>
    <row r="227" ht="14.25" customHeight="1" s="862">
      <c r="A227" s="910" t="inlineStr">
        <is>
          <t>JT.#36</t>
        </is>
      </c>
      <c r="B227" s="910" t="inlineStr">
        <is>
          <t>3-1/2" TUBING 9.2 LB/FT ALLOY 28 TSH BL</t>
        </is>
      </c>
      <c r="C227" s="1129" t="n">
        <v>31</v>
      </c>
    </row>
    <row r="228" ht="14.25" customHeight="1" s="862">
      <c r="A228" s="910" t="inlineStr">
        <is>
          <t>JT.#37</t>
        </is>
      </c>
      <c r="B228" s="910" t="inlineStr">
        <is>
          <t>3-1/2" TUBING 9.2 LB/FT ALLOY 28 TSH BL</t>
        </is>
      </c>
      <c r="C228" s="1129" t="n">
        <v>31</v>
      </c>
    </row>
    <row r="229" ht="14.25" customHeight="1" s="862">
      <c r="A229" s="910" t="inlineStr">
        <is>
          <t>JT.#38</t>
        </is>
      </c>
      <c r="B229" s="910" t="inlineStr">
        <is>
          <t>3-1/2" TUBING 9.2 LB/FT ALLOY 28 TSH BL</t>
        </is>
      </c>
      <c r="C229" s="1129" t="n">
        <v>31</v>
      </c>
    </row>
    <row r="230" ht="14.25" customHeight="1" s="862">
      <c r="A230" s="910" t="inlineStr">
        <is>
          <t>JT.#39</t>
        </is>
      </c>
      <c r="B230" s="910" t="inlineStr">
        <is>
          <t>3-1/2" TUBING 9.2 LB/FT ALLOY 28 TSH BL</t>
        </is>
      </c>
      <c r="C230" s="1129" t="n">
        <v>31</v>
      </c>
    </row>
    <row r="231" ht="14.25" customHeight="1" s="862">
      <c r="A231" s="910" t="inlineStr">
        <is>
          <t>JT.#40</t>
        </is>
      </c>
      <c r="B231" s="910" t="inlineStr">
        <is>
          <t>3-1/2" TUBING 9.2 LB/FT ALLOY 28 TSH BL</t>
        </is>
      </c>
      <c r="C231" s="1129" t="n">
        <v>31</v>
      </c>
    </row>
    <row r="232" ht="14.25" customHeight="1" s="862">
      <c r="A232" s="910" t="inlineStr">
        <is>
          <t>JT.#41</t>
        </is>
      </c>
      <c r="B232" s="910" t="inlineStr">
        <is>
          <t>3-1/2" TUBING 9.2 LB/FT ALLOY 28 TSH BL</t>
        </is>
      </c>
      <c r="C232" s="1129" t="n">
        <v>31</v>
      </c>
    </row>
    <row r="233" ht="14.25" customHeight="1" s="862">
      <c r="A233" s="910" t="inlineStr">
        <is>
          <t>JT.#42</t>
        </is>
      </c>
      <c r="B233" s="910" t="inlineStr">
        <is>
          <t>3-1/2" TUBING 9.2 LB/FT ALLOY 28 TSH BL</t>
        </is>
      </c>
      <c r="C233" s="1129" t="n">
        <v>31</v>
      </c>
    </row>
    <row r="234" ht="14.25" customHeight="1" s="862">
      <c r="A234" s="910" t="inlineStr">
        <is>
          <t>JT.#43</t>
        </is>
      </c>
      <c r="B234" s="910" t="inlineStr">
        <is>
          <t>3-1/2" TUBING 9.2 LB/FT ALLOY 28 TSH BL</t>
        </is>
      </c>
      <c r="C234" s="1129" t="n">
        <v>31</v>
      </c>
    </row>
    <row r="235" ht="14.25" customHeight="1" s="862">
      <c r="A235" s="910" t="inlineStr">
        <is>
          <t>JT.#44</t>
        </is>
      </c>
      <c r="B235" s="910" t="inlineStr">
        <is>
          <t>3-1/2" TUBING 9.2 LB/FT ALLOY 28 TSH BL</t>
        </is>
      </c>
      <c r="C235" s="1129" t="n">
        <v>31</v>
      </c>
    </row>
    <row r="236" ht="14.25" customHeight="1" s="862">
      <c r="A236" s="910" t="inlineStr">
        <is>
          <t>JT.#45</t>
        </is>
      </c>
      <c r="B236" s="910" t="inlineStr">
        <is>
          <t>3-1/2" TUBING 9.2 LB/FT ALLOY 28 TSH BL</t>
        </is>
      </c>
      <c r="C236" s="1129" t="n">
        <v>31</v>
      </c>
    </row>
    <row r="237" ht="14.25" customHeight="1" s="862">
      <c r="A237" s="910" t="inlineStr">
        <is>
          <t>JT.#46</t>
        </is>
      </c>
      <c r="B237" s="910" t="inlineStr">
        <is>
          <t>3-1/2" TUBING 9.2 LB/FT ALLOY 28 TSH BL</t>
        </is>
      </c>
      <c r="C237" s="1129" t="n">
        <v>31</v>
      </c>
    </row>
    <row r="238" ht="14.25" customHeight="1" s="862">
      <c r="A238" s="910" t="inlineStr">
        <is>
          <t>JT.#47</t>
        </is>
      </c>
      <c r="B238" s="910" t="inlineStr">
        <is>
          <t>3-1/2" TUBING 9.2 LB/FT ALLOY 28 TSH BL</t>
        </is>
      </c>
      <c r="C238" s="1129" t="n">
        <v>31</v>
      </c>
    </row>
    <row r="239" ht="14.25" customHeight="1" s="862">
      <c r="A239" s="910" t="inlineStr">
        <is>
          <t>JT.#48</t>
        </is>
      </c>
      <c r="B239" s="910" t="inlineStr">
        <is>
          <t>3-1/2" TUBING 9.2 LB/FT ALLOY 28 TSH BL</t>
        </is>
      </c>
      <c r="C239" s="1129" t="n">
        <v>31</v>
      </c>
    </row>
    <row r="240" ht="14.25" customHeight="1" s="862">
      <c r="A240" s="910" t="inlineStr">
        <is>
          <t>JT.#49</t>
        </is>
      </c>
      <c r="B240" s="910" t="inlineStr">
        <is>
          <t>3-1/2" TUBING 9.2 LB/FT ALLOY 28 TSH BL</t>
        </is>
      </c>
      <c r="C240" s="1129" t="n">
        <v>31</v>
      </c>
    </row>
    <row r="241" ht="14.25" customHeight="1" s="862">
      <c r="A241" s="910" t="inlineStr">
        <is>
          <t>JT.#50</t>
        </is>
      </c>
      <c r="B241" s="910" t="inlineStr">
        <is>
          <t>3-1/2" TUBING 9.2 LB/FT ALLOY 28 TSH BL</t>
        </is>
      </c>
      <c r="C241" s="1129" t="n">
        <v>31</v>
      </c>
    </row>
    <row r="242" ht="14.25" customHeight="1" s="862">
      <c r="A242" s="910" t="inlineStr">
        <is>
          <t>JT.#51</t>
        </is>
      </c>
      <c r="B242" s="910" t="inlineStr">
        <is>
          <t>3-1/2" TUBING 9.2 LB/FT ALLOY 28 TSH BL</t>
        </is>
      </c>
      <c r="C242" s="1129" t="n">
        <v>31</v>
      </c>
    </row>
    <row r="243" ht="14.25" customHeight="1" s="862">
      <c r="A243" s="910" t="inlineStr">
        <is>
          <t>JT.#52</t>
        </is>
      </c>
      <c r="B243" s="910" t="inlineStr">
        <is>
          <t>3-1/2" TUBING 9.2 LB/FT ALLOY 28 TSH BL</t>
        </is>
      </c>
      <c r="C243" s="1129" t="n">
        <v>31</v>
      </c>
    </row>
    <row r="244" ht="14.25" customHeight="1" s="862">
      <c r="A244" s="910" t="inlineStr">
        <is>
          <t>JT.#53</t>
        </is>
      </c>
      <c r="B244" s="910" t="inlineStr">
        <is>
          <t>3-1/2" TUBING 9.2 LB/FT ALLOY 28 TSH BL</t>
        </is>
      </c>
      <c r="C244" s="1129" t="n">
        <v>31</v>
      </c>
    </row>
    <row r="245" ht="14.25" customHeight="1" s="862">
      <c r="A245" s="910" t="inlineStr">
        <is>
          <t>JT.#54</t>
        </is>
      </c>
      <c r="B245" s="910" t="inlineStr">
        <is>
          <t>3-1/2" TUBING 9.2 LB/FT ALLOY 28 TSH BL</t>
        </is>
      </c>
      <c r="C245" s="1129" t="n">
        <v>31</v>
      </c>
    </row>
    <row r="246" ht="14.25" customHeight="1" s="862">
      <c r="A246" s="910" t="inlineStr">
        <is>
          <t>JT.#55</t>
        </is>
      </c>
      <c r="B246" s="910" t="inlineStr">
        <is>
          <t>3-1/2" TUBING 9.2 LB/FT ALLOY 28 TSH BL</t>
        </is>
      </c>
      <c r="C246" s="1129" t="n">
        <v>31</v>
      </c>
    </row>
    <row r="247" ht="14.25" customHeight="1" s="862">
      <c r="A247" s="910" t="inlineStr">
        <is>
          <t>JT.#56</t>
        </is>
      </c>
      <c r="B247" s="910" t="inlineStr">
        <is>
          <t>3-1/2" TUBING 9.2 LB/FT ALLOY 28 TSH BL</t>
        </is>
      </c>
      <c r="C247" s="1129" t="n">
        <v>31</v>
      </c>
    </row>
    <row r="248" ht="14.25" customHeight="1" s="862">
      <c r="A248" s="910" t="inlineStr">
        <is>
          <t>JT.#57</t>
        </is>
      </c>
      <c r="B248" s="910" t="inlineStr">
        <is>
          <t>3-1/2" TUBING 9.2 LB/FT ALLOY 28 TSH BL</t>
        </is>
      </c>
      <c r="C248" s="1129" t="n">
        <v>31</v>
      </c>
    </row>
    <row r="249" ht="14.25" customHeight="1" s="862">
      <c r="A249" s="910" t="inlineStr">
        <is>
          <t>JT.#58</t>
        </is>
      </c>
      <c r="B249" s="910" t="inlineStr">
        <is>
          <t>3-1/2" TUBING 9.2 LB/FT ALLOY 28 TSH BL</t>
        </is>
      </c>
      <c r="C249" s="1129" t="n">
        <v>31</v>
      </c>
    </row>
    <row r="250" ht="14.25" customHeight="1" s="862">
      <c r="A250" s="910" t="inlineStr">
        <is>
          <t>JT.#59</t>
        </is>
      </c>
      <c r="B250" s="910" t="inlineStr">
        <is>
          <t>3-1/2" TUBING 9.2 LB/FT ALLOY 28 TSH BL</t>
        </is>
      </c>
      <c r="C250" s="1129" t="n">
        <v>31</v>
      </c>
    </row>
    <row r="251" ht="14.25" customHeight="1" s="862">
      <c r="A251" s="910" t="inlineStr">
        <is>
          <t>JT.#60</t>
        </is>
      </c>
      <c r="B251" s="910" t="inlineStr">
        <is>
          <t>3-1/2" TUBING 9.2 LB/FT ALLOY 28 TSH BL</t>
        </is>
      </c>
      <c r="C251" s="1129" t="n">
        <v>31</v>
      </c>
    </row>
    <row r="252" ht="14.25" customHeight="1" s="862">
      <c r="A252" s="910" t="inlineStr">
        <is>
          <t>JT.#61</t>
        </is>
      </c>
      <c r="B252" s="910" t="inlineStr">
        <is>
          <t>3-1/2" TUBING 9.2 LB/FT ALLOY 28 TSH BL</t>
        </is>
      </c>
      <c r="C252" s="1129" t="n">
        <v>31</v>
      </c>
    </row>
    <row r="253" ht="14.25" customHeight="1" s="862">
      <c r="A253" s="910" t="inlineStr">
        <is>
          <t>JT.#62</t>
        </is>
      </c>
      <c r="B253" s="910" t="inlineStr">
        <is>
          <t>3-1/2" TUBING 9.2 LB/FT ALLOY 28 TSH BL</t>
        </is>
      </c>
      <c r="C253" s="1129" t="n">
        <v>31</v>
      </c>
    </row>
    <row r="254" ht="14.25" customHeight="1" s="862">
      <c r="A254" s="910" t="inlineStr">
        <is>
          <t>JT.#63</t>
        </is>
      </c>
      <c r="B254" s="910" t="inlineStr">
        <is>
          <t>3-1/2" TUBING 9.2 LB/FT ALLOY 28 TSH BL</t>
        </is>
      </c>
      <c r="C254" s="1129" t="n">
        <v>31</v>
      </c>
    </row>
    <row r="255" ht="14.25" customHeight="1" s="862">
      <c r="A255" s="910" t="inlineStr">
        <is>
          <t>JT.#64</t>
        </is>
      </c>
      <c r="B255" s="910" t="inlineStr">
        <is>
          <t>3-1/2" TUBING 9.2 LB/FT ALLOY 28 TSH BL</t>
        </is>
      </c>
      <c r="C255" s="1129" t="n">
        <v>31</v>
      </c>
    </row>
    <row r="256" ht="14.25" customHeight="1" s="862">
      <c r="A256" s="910" t="inlineStr">
        <is>
          <t>JT.#65</t>
        </is>
      </c>
      <c r="B256" s="910" t="inlineStr">
        <is>
          <t>3-1/2" TUBING 9.2 LB/FT ALLOY 28 TSH BL</t>
        </is>
      </c>
      <c r="C256" s="1129" t="n">
        <v>31</v>
      </c>
    </row>
    <row r="257" ht="14.25" customHeight="1" s="862">
      <c r="A257" s="910" t="inlineStr">
        <is>
          <t>JT.#66</t>
        </is>
      </c>
      <c r="B257" s="910" t="inlineStr">
        <is>
          <t>3-1/2" TUBING 9.2 LB/FT ALLOY 28 TSH BL</t>
        </is>
      </c>
      <c r="C257" s="1129" t="n">
        <v>31</v>
      </c>
    </row>
    <row r="258" ht="75.75" customHeight="1" s="862">
      <c r="A258" s="1752" t="inlineStr">
        <is>
          <t>SP-01</t>
        </is>
      </c>
      <c r="B258" s="1753" t="inlineStr">
        <is>
          <t>UPPER CONN. 3-1/2" VAM TOP BOX 9.2 PPF SN 28 110 KSI
DESCRIPTION: 5 FEET XOVER
SAP: 130005011340
SUPPLIER: TENARIS
UPPER CONN. 3-1/2" TSH BLUE PIN 9.2 PPF SN 28 110 KSI</t>
        </is>
      </c>
      <c r="C258" s="1754" t="n">
        <v>5.18</v>
      </c>
      <c r="D258" s="1755" t="n">
        <v>3.908</v>
      </c>
      <c r="E258" s="1755" t="n">
        <v>2.959</v>
      </c>
      <c r="F258" s="1756" t="inlineStr">
        <is>
          <t>N/A</t>
        </is>
      </c>
      <c r="G258" s="1756" t="inlineStr">
        <is>
          <t>N/A</t>
        </is>
      </c>
      <c r="H258" s="1756" t="inlineStr">
        <is>
          <t>130005011340</t>
        </is>
      </c>
      <c r="I258" s="1756" t="inlineStr">
        <is>
          <t>N/A</t>
        </is>
      </c>
    </row>
    <row r="259" ht="135.75" customHeight="1" s="862">
      <c r="B259" s="1753" t="inlineStr">
        <is>
          <t>UPPER CONN.
3-1/2 9.2 PPF, 110KSI VAM TOP BOX
DESCRIPTION:
PCKR, SWEL,6,3-1/2,A925, OIL
P/N: 2991712
S/N: RDT-UAE-1003629
SAP: 130010039426
SUPPLIER: WFD-REACTIVE
LOWER CONN.</t>
        </is>
      </c>
      <c r="C259" s="1754" t="n">
        <v>30.88</v>
      </c>
      <c r="D259" s="1755" t="n">
        <v>5.7</v>
      </c>
      <c r="E259" s="1755" t="n">
        <v>2.953</v>
      </c>
      <c r="F259" s="1756" t="inlineStr">
        <is>
          <t>2991712</t>
        </is>
      </c>
      <c r="G259" s="1756" t="inlineStr">
        <is>
          <t>RDT-UAE-1003629</t>
        </is>
      </c>
      <c r="H259" s="1756" t="inlineStr">
        <is>
          <t>130010039426</t>
        </is>
      </c>
      <c r="I259" s="1756" t="inlineStr">
        <is>
          <t>N/A</t>
        </is>
      </c>
    </row>
    <row r="260" ht="75.75" customHeight="1" s="862">
      <c r="B260" s="1753" t="inlineStr">
        <is>
          <t>UPPER CONN . 3-1/2" TSH BLUE BOX 9.2 PPF SN 28 110 KSI
DESCRIPTION: 3 FEET XOVER
SAP: 130005011337
SUPPLIER: TENARIS
LOWER CONN. 3-1/2" VAM TOP PIN 9.2 PPF SN 28 110 KSI</t>
        </is>
      </c>
      <c r="C260" s="1754" t="n">
        <v>2.78</v>
      </c>
      <c r="D260" s="1755" t="n">
        <v>3.937</v>
      </c>
      <c r="E260" s="1755" t="n">
        <v>2.969</v>
      </c>
      <c r="F260" s="1756" t="inlineStr">
        <is>
          <t>N/A</t>
        </is>
      </c>
      <c r="G260" s="1756" t="inlineStr">
        <is>
          <t>N/A</t>
        </is>
      </c>
      <c r="H260" s="1756" t="inlineStr">
        <is>
          <t>130005011337</t>
        </is>
      </c>
      <c r="I260" s="1756" t="inlineStr">
        <is>
          <t>N/A</t>
        </is>
      </c>
    </row>
    <row r="261" ht="14.25" customHeight="1" s="862">
      <c r="A261" s="910" t="inlineStr">
        <is>
          <t>JT.#67</t>
        </is>
      </c>
      <c r="B261" s="910" t="inlineStr">
        <is>
          <t>3-1/2" TUBING 9.2 LB/FT ALLOY 28 TSH BL</t>
        </is>
      </c>
      <c r="C261" s="1129" t="n">
        <v>31</v>
      </c>
    </row>
    <row r="262" ht="14.25" customHeight="1" s="862">
      <c r="A262" s="910" t="inlineStr">
        <is>
          <t>JT.#68</t>
        </is>
      </c>
      <c r="B262" s="910" t="inlineStr">
        <is>
          <t>3-1/2" TUBING 9.2 LB/FT ALLOY 28 TSH BL</t>
        </is>
      </c>
      <c r="C262" s="1129" t="n">
        <v>31</v>
      </c>
    </row>
    <row r="263" ht="14.25" customHeight="1" s="862">
      <c r="A263" s="910" t="inlineStr">
        <is>
          <t>JT.#69</t>
        </is>
      </c>
      <c r="B263" s="910" t="inlineStr">
        <is>
          <t>3-1/2" TUBING 9.2 LB/FT ALLOY 28 TSH BL</t>
        </is>
      </c>
      <c r="C263" s="1129" t="n">
        <v>31</v>
      </c>
    </row>
    <row r="264" ht="14.25" customHeight="1" s="862">
      <c r="A264" s="910" t="inlineStr">
        <is>
          <t>JT.#70</t>
        </is>
      </c>
      <c r="B264" s="910" t="inlineStr">
        <is>
          <t>3-1/2" TUBING 9.2 LB/FT ALLOY 28 TSH BL</t>
        </is>
      </c>
      <c r="C264" s="1129" t="n">
        <v>31</v>
      </c>
    </row>
    <row r="265" ht="14.25" customHeight="1" s="862">
      <c r="A265" s="910" t="inlineStr">
        <is>
          <t>JT.#71</t>
        </is>
      </c>
      <c r="B265" s="910" t="inlineStr">
        <is>
          <t>3-1/2" TUBING 9.2 LB/FT ALLOY 28 TSH BL</t>
        </is>
      </c>
      <c r="C265" s="1129" t="n">
        <v>31</v>
      </c>
    </row>
    <row r="266" ht="14.25" customHeight="1" s="862">
      <c r="A266" s="910" t="inlineStr">
        <is>
          <t>JT.#72</t>
        </is>
      </c>
      <c r="B266" s="910" t="inlineStr">
        <is>
          <t>3-1/2" TUBING 9.2 LB/FT ALLOY 28 TSH BL</t>
        </is>
      </c>
      <c r="C266" s="1129" t="n">
        <v>31</v>
      </c>
    </row>
    <row r="267" ht="14.25" customHeight="1" s="862">
      <c r="A267" s="910" t="inlineStr">
        <is>
          <t>JT.#73</t>
        </is>
      </c>
      <c r="B267" s="910" t="inlineStr">
        <is>
          <t>3-1/2" TUBING 9.2 LB/FT ALLOY 28 TSH BL</t>
        </is>
      </c>
      <c r="C267" s="1129" t="n">
        <v>31</v>
      </c>
    </row>
    <row r="268" ht="14.25" customHeight="1" s="862">
      <c r="A268" s="910" t="inlineStr">
        <is>
          <t>JT.#74</t>
        </is>
      </c>
      <c r="B268" s="910" t="inlineStr">
        <is>
          <t>3-1/2" TUBING 9.2 LB/FT ALLOY 28 TSH BL</t>
        </is>
      </c>
      <c r="C268" s="1129" t="n">
        <v>31</v>
      </c>
    </row>
    <row r="269" ht="14.25" customHeight="1" s="862">
      <c r="A269" s="910" t="inlineStr">
        <is>
          <t>JT.#75</t>
        </is>
      </c>
      <c r="B269" s="910" t="inlineStr">
        <is>
          <t>3-1/2" TUBING 9.2 LB/FT ALLOY 28 TSH BL</t>
        </is>
      </c>
      <c r="C269" s="1129" t="n">
        <v>31</v>
      </c>
    </row>
    <row r="270" ht="14.25" customHeight="1" s="862">
      <c r="A270" s="910" t="inlineStr">
        <is>
          <t>JT.#76</t>
        </is>
      </c>
      <c r="B270" s="910" t="inlineStr">
        <is>
          <t>3-1/2" TUBING 9.2 LB/FT ALLOY 28 TSH BL</t>
        </is>
      </c>
      <c r="C270" s="1129" t="n">
        <v>31</v>
      </c>
    </row>
    <row r="271" ht="14.25" customHeight="1" s="862">
      <c r="A271" s="910" t="inlineStr">
        <is>
          <t>JT.#77</t>
        </is>
      </c>
      <c r="B271" s="910" t="inlineStr">
        <is>
          <t>3-1/2" TUBING 9.2 LB/FT ALLOY 28 TSH BL</t>
        </is>
      </c>
      <c r="C271" s="1129" t="n">
        <v>31</v>
      </c>
    </row>
    <row r="272" ht="14.25" customHeight="1" s="862">
      <c r="A272" s="910" t="inlineStr">
        <is>
          <t>JT.#78</t>
        </is>
      </c>
      <c r="B272" s="910" t="inlineStr">
        <is>
          <t>3-1/2" TUBING 9.2 LB/FT ALLOY 28 TSH BL</t>
        </is>
      </c>
      <c r="C272" s="1129" t="n">
        <v>31</v>
      </c>
    </row>
    <row r="273" ht="14.25" customHeight="1" s="862">
      <c r="A273" s="910" t="inlineStr">
        <is>
          <t>JT.#79</t>
        </is>
      </c>
      <c r="B273" s="910" t="inlineStr">
        <is>
          <t>3-1/2" TUBING 9.2 LB/FT ALLOY 28 TSH BL</t>
        </is>
      </c>
      <c r="C273" s="1129" t="n">
        <v>31</v>
      </c>
    </row>
    <row r="274" ht="14.25" customHeight="1" s="862">
      <c r="A274" s="910" t="inlineStr">
        <is>
          <t>JT.#80</t>
        </is>
      </c>
      <c r="B274" s="910" t="inlineStr">
        <is>
          <t>3-1/2" TUBING 9.2 LB/FT ALLOY 28 TSH BL</t>
        </is>
      </c>
      <c r="C274" s="1129" t="n">
        <v>31</v>
      </c>
    </row>
    <row r="275" ht="14.25" customHeight="1" s="862">
      <c r="A275" s="910" t="inlineStr">
        <is>
          <t>JT.#81</t>
        </is>
      </c>
      <c r="B275" s="910" t="inlineStr">
        <is>
          <t>3-1/2" TUBING 9.2 LB/FT ALLOY 28 TSH BL</t>
        </is>
      </c>
      <c r="C275" s="1129" t="n">
        <v>31</v>
      </c>
    </row>
    <row r="276" ht="14.25" customHeight="1" s="862">
      <c r="A276" s="910" t="inlineStr">
        <is>
          <t>JT.#82</t>
        </is>
      </c>
      <c r="B276" s="910" t="inlineStr">
        <is>
          <t>3-1/2" TUBING 9.2 LB/FT ALLOY 28 TSH BL</t>
        </is>
      </c>
      <c r="C276" s="1129" t="n">
        <v>31</v>
      </c>
    </row>
    <row r="277" ht="14.25" customHeight="1" s="862">
      <c r="A277" s="910" t="inlineStr">
        <is>
          <t>JT.#83</t>
        </is>
      </c>
      <c r="B277" s="910" t="inlineStr">
        <is>
          <t>3-1/2" TUBING 9.2 LB/FT ALLOY 28 TSH BL</t>
        </is>
      </c>
      <c r="C277" s="1129" t="n">
        <v>31</v>
      </c>
    </row>
    <row r="278" ht="14.25" customHeight="1" s="862">
      <c r="A278" s="910" t="inlineStr">
        <is>
          <t>JT.#84</t>
        </is>
      </c>
      <c r="B278" s="910" t="inlineStr">
        <is>
          <t>3-1/2" TUBING 9.2 LB/FT ALLOY 28 TSH BL</t>
        </is>
      </c>
      <c r="C278" s="1129" t="n">
        <v>31</v>
      </c>
    </row>
    <row r="279" ht="14.25" customHeight="1" s="862">
      <c r="A279" s="910" t="inlineStr">
        <is>
          <t>JT.#85</t>
        </is>
      </c>
      <c r="B279" s="910" t="inlineStr">
        <is>
          <t>3-1/2" TUBING 9.2 LB/FT ALLOY 28 TSH BL</t>
        </is>
      </c>
      <c r="C279" s="1129" t="n">
        <v>31</v>
      </c>
    </row>
    <row r="280" ht="14.25" customHeight="1" s="862">
      <c r="A280" s="910" t="inlineStr">
        <is>
          <t>JT.#86</t>
        </is>
      </c>
      <c r="B280" s="910" t="inlineStr">
        <is>
          <t>3-1/2" TUBING 9.2 LB/FT ALLOY 28 TSH BL</t>
        </is>
      </c>
      <c r="C280" s="1129" t="n">
        <v>31</v>
      </c>
    </row>
    <row r="281" ht="14.25" customHeight="1" s="862">
      <c r="A281" s="910" t="inlineStr">
        <is>
          <t>JT.#87</t>
        </is>
      </c>
      <c r="B281" s="910" t="inlineStr">
        <is>
          <t>3-1/2" TUBING 9.2 LB/FT ALLOY 28 TSH BL</t>
        </is>
      </c>
      <c r="C281" s="1129" t="n">
        <v>31</v>
      </c>
    </row>
    <row r="282" ht="14.25" customHeight="1" s="862">
      <c r="A282" s="910" t="inlineStr">
        <is>
          <t>JT.#88</t>
        </is>
      </c>
      <c r="B282" s="910" t="inlineStr">
        <is>
          <t>3-1/2" TUBING 9.2 LB/FT ALLOY 28 TSH BL</t>
        </is>
      </c>
      <c r="C282" s="1129" t="n">
        <v>31</v>
      </c>
    </row>
    <row r="283" ht="14.25" customHeight="1" s="862">
      <c r="A283" s="910" t="inlineStr">
        <is>
          <t>JT.#89</t>
        </is>
      </c>
      <c r="B283" s="910" t="inlineStr">
        <is>
          <t>3-1/2" TUBING 9.2 LB/FT ALLOY 28 TSH BL</t>
        </is>
      </c>
      <c r="C283" s="1129" t="n">
        <v>31</v>
      </c>
    </row>
    <row r="284" ht="14.25" customHeight="1" s="862">
      <c r="A284" s="910" t="inlineStr">
        <is>
          <t>JT.#90</t>
        </is>
      </c>
      <c r="B284" s="910" t="inlineStr">
        <is>
          <t>3-1/2" TUBING 9.2 LB/FT ALLOY 28 TSH BL</t>
        </is>
      </c>
      <c r="C284" s="1129" t="n">
        <v>31</v>
      </c>
    </row>
    <row r="285" ht="14.25" customHeight="1" s="862">
      <c r="A285" s="910" t="inlineStr">
        <is>
          <t>JT.#91</t>
        </is>
      </c>
      <c r="B285" s="910" t="inlineStr">
        <is>
          <t>3-1/2" TUBING 9.2 LB/FT ALLOY 28 TSH BL</t>
        </is>
      </c>
      <c r="C285" s="1129" t="n">
        <v>31</v>
      </c>
    </row>
    <row r="286" ht="14.25" customHeight="1" s="862">
      <c r="A286" s="910" t="inlineStr">
        <is>
          <t>JT.#92</t>
        </is>
      </c>
      <c r="B286" s="910" t="inlineStr">
        <is>
          <t>3-1/2" TUBING 9.2 LB/FT ALLOY 28 TSH BL</t>
        </is>
      </c>
      <c r="C286" s="1129" t="n">
        <v>31</v>
      </c>
    </row>
    <row r="287" ht="14.25" customHeight="1" s="862">
      <c r="A287" s="910" t="inlineStr">
        <is>
          <t>JT.#93</t>
        </is>
      </c>
      <c r="B287" s="910" t="inlineStr">
        <is>
          <t>3-1/2" TUBING 9.2 LB/FT ALLOY 28 TSH BL</t>
        </is>
      </c>
      <c r="C287" s="1129" t="n">
        <v>31</v>
      </c>
    </row>
    <row r="288" ht="14.25" customHeight="1" s="862">
      <c r="A288" s="910" t="inlineStr">
        <is>
          <t>JT.#94</t>
        </is>
      </c>
      <c r="B288" s="910" t="inlineStr">
        <is>
          <t>3-1/2" TUBING 9.2 LB/FT ALLOY 28 TSH BL</t>
        </is>
      </c>
      <c r="C288" s="1129" t="n">
        <v>31</v>
      </c>
    </row>
    <row r="289" ht="14.25" customHeight="1" s="862">
      <c r="A289" s="910" t="inlineStr">
        <is>
          <t>JT.#95</t>
        </is>
      </c>
      <c r="B289" s="910" t="inlineStr">
        <is>
          <t>3-1/2" TUBING 9.2 LB/FT ALLOY 28 TSH BL</t>
        </is>
      </c>
      <c r="C289" s="1129" t="n">
        <v>31</v>
      </c>
    </row>
    <row r="290" ht="14.25" customHeight="1" s="862">
      <c r="A290" s="910" t="inlineStr">
        <is>
          <t>JT.#96</t>
        </is>
      </c>
      <c r="B290" s="910" t="inlineStr">
        <is>
          <t>3-1/2" TUBING 9.2 LB/FT ALLOY 28 TSH BL</t>
        </is>
      </c>
      <c r="C290" s="1129" t="n">
        <v>31</v>
      </c>
    </row>
    <row r="291" ht="14.25" customHeight="1" s="862">
      <c r="A291" s="910" t="inlineStr">
        <is>
          <t>JT.#97</t>
        </is>
      </c>
      <c r="B291" s="910" t="inlineStr">
        <is>
          <t>3-1/2" TUBING 9.2 LB/FT ALLOY 28 TSH BL</t>
        </is>
      </c>
      <c r="C291" s="1129" t="n">
        <v>31</v>
      </c>
    </row>
    <row r="292" ht="14.25" customHeight="1" s="862">
      <c r="A292" s="910" t="inlineStr">
        <is>
          <t>JT.#98</t>
        </is>
      </c>
      <c r="B292" s="910" t="inlineStr">
        <is>
          <t>3-1/2" TUBING 9.2 LB/FT ALLOY 28 TSH BL</t>
        </is>
      </c>
      <c r="C292" s="1129" t="n">
        <v>31</v>
      </c>
    </row>
    <row r="293" ht="14.25" customHeight="1" s="862">
      <c r="A293" s="910" t="inlineStr">
        <is>
          <t>JT.#99</t>
        </is>
      </c>
      <c r="B293" s="910" t="inlineStr">
        <is>
          <t>3-1/2" TUBING 9.2 LB/FT ALLOY 28 TSH BL</t>
        </is>
      </c>
      <c r="C293" s="1129" t="n">
        <v>31</v>
      </c>
    </row>
    <row r="294" ht="14.25" customHeight="1" s="862">
      <c r="A294" s="910" t="inlineStr">
        <is>
          <t>JT.#100</t>
        </is>
      </c>
      <c r="B294" s="910" t="inlineStr">
        <is>
          <t>3-1/2" TUBING 9.2 LB/FT ALLOY 28 TSH BL</t>
        </is>
      </c>
      <c r="C294" s="1129" t="n">
        <v>31</v>
      </c>
    </row>
    <row r="295" ht="14.25" customHeight="1" s="862">
      <c r="A295" s="910" t="inlineStr">
        <is>
          <t>JT.#101</t>
        </is>
      </c>
      <c r="B295" s="910" t="inlineStr">
        <is>
          <t>3-1/2" TUBING 9.2 LB/FT ALLOY 28 TSH BL</t>
        </is>
      </c>
      <c r="C295" s="1129" t="n">
        <v>31</v>
      </c>
    </row>
    <row r="296" ht="14.25" customHeight="1" s="862">
      <c r="A296" s="910" t="inlineStr">
        <is>
          <t>JT.#102</t>
        </is>
      </c>
      <c r="B296" s="910" t="inlineStr">
        <is>
          <t>3-1/2" TUBING 9.2 LB/FT ALLOY 28 TSH BL</t>
        </is>
      </c>
      <c r="C296" s="1129" t="n">
        <v>31</v>
      </c>
    </row>
    <row r="297" ht="14.25" customHeight="1" s="862">
      <c r="A297" s="910" t="inlineStr">
        <is>
          <t>JT.#103</t>
        </is>
      </c>
      <c r="B297" s="910" t="inlineStr">
        <is>
          <t>3-1/2" TUBING 9.2 LB/FT ALLOY 28 TSH BL</t>
        </is>
      </c>
      <c r="C297" s="1129" t="n">
        <v>31</v>
      </c>
    </row>
    <row r="298" ht="14.25" customHeight="1" s="862">
      <c r="A298" s="910" t="inlineStr">
        <is>
          <t>JT.#104</t>
        </is>
      </c>
      <c r="B298" s="910" t="inlineStr">
        <is>
          <t>3-1/2" TUBING 9.2 LB/FT ALLOY 28 TSH BL</t>
        </is>
      </c>
      <c r="C298" s="1129" t="n">
        <v>31</v>
      </c>
    </row>
    <row r="299" ht="14.25" customHeight="1" s="862">
      <c r="A299" s="910" t="inlineStr">
        <is>
          <t>JT.#105</t>
        </is>
      </c>
      <c r="B299" s="910" t="inlineStr">
        <is>
          <t>3-1/2" TUBING 9.2 LB/FT ALLOY 28 TSH BL</t>
        </is>
      </c>
      <c r="C299" s="1129" t="n">
        <v>31</v>
      </c>
    </row>
    <row r="300" ht="14.25" customHeight="1" s="862">
      <c r="A300" s="910" t="inlineStr">
        <is>
          <t>JT.#106</t>
        </is>
      </c>
      <c r="B300" s="910" t="inlineStr">
        <is>
          <t>3-1/2" TUBING 9.2 LB/FT ALLOY 28 TSH BL</t>
        </is>
      </c>
      <c r="C300" s="1129" t="n">
        <v>31</v>
      </c>
    </row>
    <row r="301" ht="14.25" customHeight="1" s="862">
      <c r="A301" s="910" t="inlineStr">
        <is>
          <t>JT.#107</t>
        </is>
      </c>
      <c r="B301" s="910" t="inlineStr">
        <is>
          <t>3-1/2" TUBING 9.2 LB/FT ALLOY 28 TSH BL</t>
        </is>
      </c>
      <c r="C301" s="1129" t="n">
        <v>31</v>
      </c>
    </row>
    <row r="302" ht="14.25" customHeight="1" s="862">
      <c r="A302" s="910" t="inlineStr">
        <is>
          <t>JT.#108</t>
        </is>
      </c>
      <c r="B302" s="910" t="inlineStr">
        <is>
          <t>3-1/2" TUBING 9.2 LB/FT ALLOY 28 TSH BL</t>
        </is>
      </c>
      <c r="C302" s="1129" t="n">
        <v>31</v>
      </c>
    </row>
    <row r="303" ht="14.25" customHeight="1" s="862">
      <c r="A303" s="910" t="inlineStr">
        <is>
          <t>JT.#109</t>
        </is>
      </c>
      <c r="B303" s="910" t="inlineStr">
        <is>
          <t>3-1/2" TUBING 9.2 LB/FT ALLOY 28 TSH BL</t>
        </is>
      </c>
      <c r="C303" s="1129" t="n">
        <v>31</v>
      </c>
    </row>
    <row r="304" ht="14.25" customHeight="1" s="862">
      <c r="A304" s="910" t="inlineStr">
        <is>
          <t>JT.#110</t>
        </is>
      </c>
      <c r="B304" s="910" t="inlineStr">
        <is>
          <t>3-1/2" TUBING 9.2 LB/FT ALLOY 28 TSH BL</t>
        </is>
      </c>
      <c r="C304" s="1129" t="n">
        <v>31</v>
      </c>
    </row>
    <row r="305" ht="14.25" customHeight="1" s="862">
      <c r="A305" s="910" t="inlineStr">
        <is>
          <t>JT.#111</t>
        </is>
      </c>
      <c r="B305" s="910" t="inlineStr">
        <is>
          <t>3-1/2" TUBING 9.2 LB/FT ALLOY 28 TSH BL</t>
        </is>
      </c>
      <c r="C305" s="1129" t="n">
        <v>31</v>
      </c>
    </row>
    <row r="306" ht="14.25" customHeight="1" s="862">
      <c r="A306" s="910" t="inlineStr">
        <is>
          <t>JT.#112</t>
        </is>
      </c>
      <c r="B306" s="910" t="inlineStr">
        <is>
          <t>3-1/2" TUBING 9.2 LB/FT ALLOY 28 TSH BL</t>
        </is>
      </c>
      <c r="C306" s="1129" t="n">
        <v>31</v>
      </c>
    </row>
    <row r="307" ht="14.25" customHeight="1" s="862">
      <c r="A307" s="910" t="inlineStr">
        <is>
          <t>JT.#113</t>
        </is>
      </c>
      <c r="B307" s="910" t="inlineStr">
        <is>
          <t>3-1/2" TUBING 9.2 LB/FT ALLOY 28 TSH BL</t>
        </is>
      </c>
      <c r="C307" s="1129" t="n">
        <v>31</v>
      </c>
    </row>
    <row r="308" ht="14.25" customHeight="1" s="862">
      <c r="A308" s="910" t="inlineStr">
        <is>
          <t>JT.#114</t>
        </is>
      </c>
      <c r="B308" s="910" t="inlineStr">
        <is>
          <t>3-1/2" TUBING 9.2 LB/FT ALLOY 28 TSH BL</t>
        </is>
      </c>
      <c r="C308" s="1129" t="n">
        <v>31</v>
      </c>
    </row>
    <row r="309" ht="14.25" customHeight="1" s="862">
      <c r="A309" s="910" t="inlineStr">
        <is>
          <t>JT.#115</t>
        </is>
      </c>
      <c r="B309" s="910" t="inlineStr">
        <is>
          <t>3-1/2" TUBING 9.2 LB/FT ALLOY 28 TSH BL</t>
        </is>
      </c>
      <c r="C309" s="1129" t="n">
        <v>31</v>
      </c>
    </row>
    <row r="310" ht="14.25" customHeight="1" s="862">
      <c r="A310" s="910" t="inlineStr">
        <is>
          <t>JT.#116</t>
        </is>
      </c>
      <c r="B310" s="910" t="inlineStr">
        <is>
          <t>3-1/2" TUBING 9.2 LB/FT ALLOY 28 TSH BL</t>
        </is>
      </c>
      <c r="C310" s="1129" t="n">
        <v>31</v>
      </c>
    </row>
    <row r="311" ht="14.25" customHeight="1" s="862">
      <c r="A311" s="910" t="inlineStr">
        <is>
          <t>JT.#117</t>
        </is>
      </c>
      <c r="B311" s="910" t="inlineStr">
        <is>
          <t>3-1/2" TUBING 9.2 LB/FT ALLOY 28 TSH BL</t>
        </is>
      </c>
      <c r="C311" s="1129" t="n">
        <v>31</v>
      </c>
    </row>
    <row r="312" ht="14.25" customHeight="1" s="862">
      <c r="A312" s="910" t="inlineStr">
        <is>
          <t>JT.#118</t>
        </is>
      </c>
      <c r="B312" s="910" t="inlineStr">
        <is>
          <t>3-1/2" TUBING 9.2 LB/FT ALLOY 28 TSH BL</t>
        </is>
      </c>
      <c r="C312" s="1129" t="n">
        <v>31</v>
      </c>
    </row>
    <row r="313" ht="14.25" customHeight="1" s="862">
      <c r="A313" s="910" t="inlineStr">
        <is>
          <t>JT.#119</t>
        </is>
      </c>
      <c r="B313" s="910" t="inlineStr">
        <is>
          <t>3-1/2" TUBING 9.2 LB/FT ALLOY 28 TSH BL</t>
        </is>
      </c>
      <c r="C313" s="1129" t="n">
        <v>31</v>
      </c>
    </row>
    <row r="314" ht="14.25" customHeight="1" s="862">
      <c r="A314" s="910" t="inlineStr">
        <is>
          <t>JT.#120</t>
        </is>
      </c>
      <c r="B314" s="910" t="inlineStr">
        <is>
          <t>3-1/2" TUBING 9.2 LB/FT ALLOY 28 TSH BL</t>
        </is>
      </c>
      <c r="C314" s="1129" t="n">
        <v>31</v>
      </c>
    </row>
    <row r="315" ht="14.25" customHeight="1" s="862">
      <c r="A315" s="910" t="inlineStr">
        <is>
          <t>JT.#121</t>
        </is>
      </c>
      <c r="B315" s="910" t="inlineStr">
        <is>
          <t>3-1/2" TUBING 9.2 LB/FT ALLOY 28 TSH BL</t>
        </is>
      </c>
      <c r="C315" s="1129" t="n">
        <v>31</v>
      </c>
    </row>
    <row r="316" ht="14.25" customHeight="1" s="862">
      <c r="A316" s="910" t="inlineStr">
        <is>
          <t>JT.#122</t>
        </is>
      </c>
      <c r="B316" s="910" t="inlineStr">
        <is>
          <t>3-1/2" TUBING 9.2 LB/FT ALLOY 28 TSH BL</t>
        </is>
      </c>
      <c r="C316" s="1129" t="n">
        <v>31</v>
      </c>
    </row>
    <row r="317" ht="14.25" customHeight="1" s="862">
      <c r="A317" s="910" t="inlineStr">
        <is>
          <t>JT.#123</t>
        </is>
      </c>
      <c r="B317" s="910" t="inlineStr">
        <is>
          <t>3-1/2" TUBING 9.2 LB/FT ALLOY 28 TSH BL</t>
        </is>
      </c>
      <c r="C317" s="1129" t="n">
        <v>31</v>
      </c>
    </row>
    <row r="318" ht="14.25" customHeight="1" s="862">
      <c r="A318" s="910" t="inlineStr">
        <is>
          <t>JT.#124</t>
        </is>
      </c>
      <c r="B318" s="910" t="inlineStr">
        <is>
          <t>3-1/2" TUBING 9.2 LB/FT ALLOY 28 TSH BL</t>
        </is>
      </c>
      <c r="C318" s="1129" t="n">
        <v>31</v>
      </c>
    </row>
    <row r="319" ht="14.25" customHeight="1" s="862">
      <c r="A319" s="910" t="inlineStr">
        <is>
          <t>JT.#125</t>
        </is>
      </c>
      <c r="B319" s="910" t="inlineStr">
        <is>
          <t>3-1/2" TUBING 9.2 LB/FT ALLOY 28 TSH BL</t>
        </is>
      </c>
      <c r="C319" s="1129" t="n">
        <v>31</v>
      </c>
    </row>
    <row r="320" ht="14.25" customHeight="1" s="862">
      <c r="A320" s="910" t="inlineStr">
        <is>
          <t>JT.#126</t>
        </is>
      </c>
      <c r="B320" s="910" t="inlineStr">
        <is>
          <t>3-1/2" TUBING 9.2 LB/FT ALLOY 28 TSH BL</t>
        </is>
      </c>
      <c r="C320" s="1129" t="n">
        <v>31</v>
      </c>
    </row>
    <row r="321" ht="14.25" customHeight="1" s="862">
      <c r="A321" s="910" t="inlineStr">
        <is>
          <t>JT.#127</t>
        </is>
      </c>
      <c r="B321" s="910" t="inlineStr">
        <is>
          <t>3-1/2" TUBING 9.2 LB/FT ALLOY 28 TSH BL</t>
        </is>
      </c>
      <c r="C321" s="1129" t="n">
        <v>31</v>
      </c>
    </row>
    <row r="322" ht="14.25" customHeight="1" s="862">
      <c r="A322" s="910" t="inlineStr">
        <is>
          <t>JT.#128</t>
        </is>
      </c>
      <c r="B322" s="910" t="inlineStr">
        <is>
          <t>3-1/2" TUBING 9.2 LB/FT ALLOY 28 TSH BL</t>
        </is>
      </c>
      <c r="C322" s="1129" t="n">
        <v>31</v>
      </c>
    </row>
    <row r="323" ht="14.25" customHeight="1" s="862">
      <c r="A323" s="910" t="inlineStr">
        <is>
          <t>JT.#129</t>
        </is>
      </c>
      <c r="B323" s="910" t="inlineStr">
        <is>
          <t>3-1/2" TUBING 9.2 LB/FT ALLOY 28 TSH BL</t>
        </is>
      </c>
      <c r="C323" s="1129" t="n">
        <v>31</v>
      </c>
    </row>
    <row r="324" ht="14.25" customHeight="1" s="862">
      <c r="A324" s="910" t="inlineStr">
        <is>
          <t>JT.#130</t>
        </is>
      </c>
      <c r="B324" s="910" t="inlineStr">
        <is>
          <t>3-1/2" TUBING 9.2 LB/FT ALLOY 28 TSH BL</t>
        </is>
      </c>
      <c r="C324" s="1129" t="n">
        <v>31</v>
      </c>
    </row>
    <row r="325" ht="14.25" customHeight="1" s="862">
      <c r="A325" s="910" t="inlineStr">
        <is>
          <t>JT.#131</t>
        </is>
      </c>
      <c r="B325" s="910" t="inlineStr">
        <is>
          <t>3-1/2" TUBING 9.2 LB/FT ALLOY 28 TSH BL</t>
        </is>
      </c>
      <c r="C325" s="1129" t="n">
        <v>31</v>
      </c>
    </row>
    <row r="326" ht="14.25" customHeight="1" s="862">
      <c r="A326" s="910" t="inlineStr">
        <is>
          <t>JT.#132</t>
        </is>
      </c>
      <c r="B326" s="910" t="inlineStr">
        <is>
          <t>3-1/2" TUBING 9.2 LB/FT ALLOY 28 TSH BL</t>
        </is>
      </c>
      <c r="C326" s="1129" t="n">
        <v>31</v>
      </c>
    </row>
    <row r="327" ht="14.25" customHeight="1" s="862">
      <c r="A327" s="910" t="inlineStr">
        <is>
          <t>JT.#133</t>
        </is>
      </c>
      <c r="B327" s="910" t="inlineStr">
        <is>
          <t>3-1/2" TUBING 9.2 LB/FT ALLOY 28 TSH BL</t>
        </is>
      </c>
      <c r="C327" s="1129" t="n">
        <v>31</v>
      </c>
    </row>
    <row r="328" ht="14.25" customHeight="1" s="862">
      <c r="A328" s="910" t="inlineStr">
        <is>
          <t>JT.#134</t>
        </is>
      </c>
      <c r="B328" s="910" t="inlineStr">
        <is>
          <t>3-1/2" TUBING 9.2 LB/FT ALLOY 28 TSH BL</t>
        </is>
      </c>
      <c r="C328" s="1129" t="n">
        <v>31</v>
      </c>
    </row>
    <row r="329" ht="14.25" customHeight="1" s="862">
      <c r="A329" s="910" t="inlineStr">
        <is>
          <t>JT.#135</t>
        </is>
      </c>
      <c r="B329" s="910" t="inlineStr">
        <is>
          <t>3-1/2" TUBING 9.2 LB/FT ALLOY 28 TSH BL</t>
        </is>
      </c>
      <c r="C329" s="1129" t="n">
        <v>31</v>
      </c>
    </row>
    <row r="330" ht="14.25" customHeight="1" s="862">
      <c r="A330" s="910" t="inlineStr">
        <is>
          <t>JT.#136</t>
        </is>
      </c>
      <c r="B330" s="910" t="inlineStr">
        <is>
          <t>3-1/2" TUBING 9.2 LB/FT ALLOY 28 TSH BL</t>
        </is>
      </c>
      <c r="C330" s="1129" t="n">
        <v>31</v>
      </c>
    </row>
    <row r="331" ht="14.25" customHeight="1" s="862">
      <c r="A331" s="910" t="inlineStr">
        <is>
          <t>JT.#137</t>
        </is>
      </c>
      <c r="B331" s="910" t="inlineStr">
        <is>
          <t>3-1/2" TUBING 9.2 LB/FT ALLOY 28 TSH BL</t>
        </is>
      </c>
      <c r="C331" s="1129" t="n">
        <v>31</v>
      </c>
    </row>
    <row r="332" ht="14.25" customHeight="1" s="862">
      <c r="A332" s="910" t="inlineStr">
        <is>
          <t>JT.#138</t>
        </is>
      </c>
      <c r="B332" s="910" t="inlineStr">
        <is>
          <t>3-1/2" TUBING 9.2 LB/FT ALLOY 28 TSH BL</t>
        </is>
      </c>
      <c r="C332" s="1129" t="n">
        <v>31</v>
      </c>
    </row>
    <row r="333" ht="14.25" customHeight="1" s="862">
      <c r="A333" s="910" t="inlineStr">
        <is>
          <t>JT.#139</t>
        </is>
      </c>
      <c r="B333" s="910" t="inlineStr">
        <is>
          <t>3-1/2" TUBING 9.2 LB/FT ALLOY 28 TSH BL</t>
        </is>
      </c>
      <c r="C333" s="1129" t="n">
        <v>31</v>
      </c>
    </row>
    <row r="334" ht="14.25" customHeight="1" s="862">
      <c r="A334" s="910" t="inlineStr">
        <is>
          <t>JT.#140</t>
        </is>
      </c>
      <c r="B334" s="910" t="inlineStr">
        <is>
          <t>3-1/2" TUBING 9.2 LB/FT ALLOY 28 TSH BL</t>
        </is>
      </c>
      <c r="C334" s="1129" t="n">
        <v>31</v>
      </c>
    </row>
    <row r="335" ht="14.25" customHeight="1" s="862">
      <c r="A335" s="910" t="inlineStr">
        <is>
          <t>JT.#141</t>
        </is>
      </c>
      <c r="B335" s="910" t="inlineStr">
        <is>
          <t>3-1/2" TUBING 9.2 LB/FT ALLOY 28 TSH BL</t>
        </is>
      </c>
      <c r="C335" s="1129" t="n">
        <v>31</v>
      </c>
    </row>
    <row r="336" ht="14.25" customHeight="1" s="862">
      <c r="A336" s="910" t="inlineStr">
        <is>
          <t>JT.#142</t>
        </is>
      </c>
      <c r="B336" s="910" t="inlineStr">
        <is>
          <t>3-1/2" TUBING 9.2 LB/FT ALLOY 28 TSH BL</t>
        </is>
      </c>
      <c r="C336" s="1129" t="n">
        <v>31</v>
      </c>
    </row>
    <row r="337" ht="14.25" customHeight="1" s="862">
      <c r="A337" s="910" t="inlineStr">
        <is>
          <t>JT.#143</t>
        </is>
      </c>
      <c r="B337" s="910" t="inlineStr">
        <is>
          <t>3-1/2" TUBING 9.2 LB/FT ALLOY 28 TSH BL</t>
        </is>
      </c>
      <c r="C337" s="1129" t="n">
        <v>31</v>
      </c>
    </row>
    <row r="338" ht="14.25" customHeight="1" s="862">
      <c r="A338" s="910" t="inlineStr">
        <is>
          <t>JT.#144</t>
        </is>
      </c>
      <c r="B338" s="910" t="inlineStr">
        <is>
          <t>3-1/2" TUBING 9.2 LB/FT ALLOY 28 TSH BL</t>
        </is>
      </c>
      <c r="C338" s="1129" t="n">
        <v>31</v>
      </c>
    </row>
    <row r="339" ht="14.25" customHeight="1" s="862">
      <c r="A339" s="910" t="inlineStr">
        <is>
          <t>JT.#145</t>
        </is>
      </c>
      <c r="B339" s="910" t="inlineStr">
        <is>
          <t>3-1/2" TUBING 9.2 LB/FT ALLOY 28 TSH BL</t>
        </is>
      </c>
      <c r="C339" s="1129" t="n">
        <v>31</v>
      </c>
    </row>
    <row r="340" ht="75.75" customHeight="1" s="862">
      <c r="A340" s="1757" t="inlineStr">
        <is>
          <t>B</t>
        </is>
      </c>
      <c r="B340" s="1758" t="inlineStr">
        <is>
          <t>UPPER CONN. 3-1/2" VAM TOP BOX 9.2 PPF SN 28 110 KSI
DESCRIPTION: 5 FEET XOVER
SAP: 130005011340
SUPPLIER: TENARIS
LOWER CONN. 3-1/2" TSH BLUE PIN 9.2 PPF SN 28 110 KSI</t>
        </is>
      </c>
      <c r="C340" s="1759" t="n">
        <v>5.18</v>
      </c>
      <c r="D340" s="1760" t="n">
        <v>3.908</v>
      </c>
      <c r="E340" s="1760" t="n">
        <v>2.959</v>
      </c>
      <c r="F340" s="1761" t="inlineStr">
        <is>
          <t>N/A</t>
        </is>
      </c>
      <c r="G340" s="1761" t="inlineStr">
        <is>
          <t>N/A</t>
        </is>
      </c>
      <c r="H340" s="1761" t="inlineStr">
        <is>
          <t>130005011340</t>
        </is>
      </c>
      <c r="I340" s="1761" t="inlineStr">
        <is>
          <t>N/A</t>
        </is>
      </c>
    </row>
    <row r="341" ht="75.75" customHeight="1" s="862">
      <c r="B341" s="1758" t="inlineStr">
        <is>
          <t>UPPER CONN. 3-1/2" SENTINEL PRIME BOX 9.2 PPF TX28-110 KSI
DESCRIPTION: 5 FEET XOVER
SAP: 130013006385
SUPPLIER: TBX
LOWER CONN. 3-1/2" VAM TOP PIN 9.2 PPF TX28- 110 KSI</t>
        </is>
      </c>
      <c r="C341" s="1759" t="n">
        <v>4.91</v>
      </c>
      <c r="D341" s="1760" t="n">
        <v>3.929</v>
      </c>
      <c r="E341" s="1760" t="n">
        <v>2.921</v>
      </c>
      <c r="F341" s="1761" t="inlineStr">
        <is>
          <t>N/A</t>
        </is>
      </c>
      <c r="G341" s="1761" t="inlineStr">
        <is>
          <t>N/A</t>
        </is>
      </c>
      <c r="H341" s="1761" t="inlineStr">
        <is>
          <t>130013006385</t>
        </is>
      </c>
      <c r="I341" s="1761" t="inlineStr">
        <is>
          <t>N/A</t>
        </is>
      </c>
    </row>
    <row r="342" ht="105.75" customHeight="1" s="862">
      <c r="B342" s="1758" t="inlineStr">
        <is>
          <t>UPPER CONN. 3-1/2" SENTINEL PRIME 9.2#PPF INC 925 BOX
DESCRIPTION: NINE ENERGY MULTICYCLE BARRIER DEVICE
7 CYCLES REMAINING
P/N: 3207251
S/N: 100 086 877
SAP: 130010036003 SUPPLIER: NINE ENERGY
LOWER CONN- 3 1/2 9.2 SENTINEL PRIME 9.2 PPF INC 925 PIN</t>
        </is>
      </c>
      <c r="C342" s="1759" t="n">
        <v>5.22</v>
      </c>
      <c r="D342" s="1760" t="n">
        <v>4.8</v>
      </c>
      <c r="E342" s="1760" t="n">
        <v>2.91</v>
      </c>
      <c r="F342" s="1761" t="inlineStr">
        <is>
          <t>3207251</t>
        </is>
      </c>
      <c r="G342" s="1761" t="inlineStr">
        <is>
          <t>100 086 877</t>
        </is>
      </c>
      <c r="H342" s="1761" t="inlineStr">
        <is>
          <t>130010036003</t>
        </is>
      </c>
      <c r="I342" s="1761" t="inlineStr">
        <is>
          <t>N/A</t>
        </is>
      </c>
    </row>
    <row r="343" ht="75.75" customHeight="1" s="862">
      <c r="B343" s="1758" t="inlineStr">
        <is>
          <t>UPPER CONN. 3-1/2" VAM TOP BOX 9.2 PPF TX28- 110 KSI
DESCRIPTION: 5 FEET XOVER
SAP: 130013006383
SUPPLIER: TBX
LOWER CONN -3-1/2" SENTINEL PRIME PIN 9.2 PPF TX28-110 KSI</t>
        </is>
      </c>
      <c r="C343" s="1759" t="n">
        <v>4.8</v>
      </c>
      <c r="D343" s="1760" t="n">
        <v>3.908</v>
      </c>
      <c r="E343" s="1760" t="n">
        <v>2.959</v>
      </c>
      <c r="F343" s="1761" t="inlineStr">
        <is>
          <t>N/A</t>
        </is>
      </c>
      <c r="G343" s="1761" t="inlineStr">
        <is>
          <t>N/A</t>
        </is>
      </c>
      <c r="H343" s="1761" t="inlineStr">
        <is>
          <t>130013006383</t>
        </is>
      </c>
      <c r="I343" s="1761" t="inlineStr">
        <is>
          <t>N/A</t>
        </is>
      </c>
    </row>
    <row r="344" ht="75.75" customHeight="1" s="862">
      <c r="B344" s="1758" t="inlineStr">
        <is>
          <t>UPPER CONN. 3-1/2" TSH BLUE BOX 9.2 PPF SN 28 110 KSI
DESCRIPTION: 10 FEET XOVER
SAP: 130005011444
SUPPLIER: TENARIS
LOWER CONN. 3-1/2" VAM TOP PIN 9.2 PPF SN 28 110 KSI</t>
        </is>
      </c>
      <c r="C344" s="1759" t="n">
        <v>9.83</v>
      </c>
      <c r="D344" s="1760" t="n">
        <v>3.937</v>
      </c>
      <c r="E344" s="1760" t="n">
        <v>2.969</v>
      </c>
      <c r="F344" s="1761" t="inlineStr">
        <is>
          <t>N/A</t>
        </is>
      </c>
      <c r="G344" s="1761" t="inlineStr">
        <is>
          <t>N/A</t>
        </is>
      </c>
      <c r="H344" s="1761" t="inlineStr">
        <is>
          <t>130005011444</t>
        </is>
      </c>
      <c r="I344" s="1761" t="inlineStr">
        <is>
          <t>N/A</t>
        </is>
      </c>
    </row>
    <row r="345" ht="14.25" customHeight="1" s="862">
      <c r="A345" s="910" t="inlineStr">
        <is>
          <t>JT.#146</t>
        </is>
      </c>
      <c r="B345" s="910" t="inlineStr">
        <is>
          <t>3-1/2" TUBING 9.2 LB/FT ALLOY 28 TSH BL</t>
        </is>
      </c>
      <c r="C345" s="1129" t="n">
        <v>31</v>
      </c>
    </row>
    <row r="346" ht="14.25" customHeight="1" s="862">
      <c r="A346" s="910" t="inlineStr">
        <is>
          <t>JT.#147</t>
        </is>
      </c>
      <c r="B346" s="910" t="inlineStr">
        <is>
          <t>3-1/2" TUBING 9.2 LB/FT ALLOY 28 TSH BL</t>
        </is>
      </c>
      <c r="C346" s="1129" t="n">
        <v>31</v>
      </c>
    </row>
    <row r="347" ht="75.75" customHeight="1" s="862">
      <c r="A347" s="1762" t="inlineStr">
        <is>
          <t>C</t>
        </is>
      </c>
      <c r="B347" s="1763" t="inlineStr">
        <is>
          <t>UPPER CONN. 3-1/2" VAM TOP BOX 9.2 PPF SN 28 110 KSI
DESCRIPTION: 5 FEET XOVER
SAP: 130005011340
SUPPLIER: TENARIS
LOWER CONN. 3-1/2" TSH BLUE PIN 9.2 PPF SN 28 110 KSI</t>
        </is>
      </c>
      <c r="C347" s="1764" t="n">
        <v>5.16</v>
      </c>
      <c r="D347" s="1765" t="n">
        <v>3.908</v>
      </c>
      <c r="E347" s="1765" t="n">
        <v>2.959</v>
      </c>
      <c r="F347" s="1766" t="inlineStr">
        <is>
          <t>N/A</t>
        </is>
      </c>
      <c r="G347" s="1766" t="inlineStr">
        <is>
          <t>N/A</t>
        </is>
      </c>
      <c r="H347" s="1766" t="inlineStr">
        <is>
          <t>130005011340</t>
        </is>
      </c>
      <c r="I347" s="1766" t="inlineStr">
        <is>
          <t>N/A</t>
        </is>
      </c>
    </row>
    <row r="348" ht="105.75" customHeight="1" s="862">
      <c r="B348" s="1763" t="inlineStr">
        <is>
          <t>UPPER CONN. 3-1/2" VAM TOP 9.2#PPF INC 925 KSI BOX
DESCRIPTION: 2.750 WXN Nipple
PN: 2963809
S/N :12527047-08
SAP: 130010036868
SUPPLIER: WEATHERFORD
LOWER CONN.3-1/2" VAM TOP 9.2#PPF INC 925KSI PIN</t>
        </is>
      </c>
      <c r="C348" s="1764" t="n">
        <v>1.15</v>
      </c>
      <c r="D348" s="1765" t="n">
        <v>3.885</v>
      </c>
      <c r="E348" s="1765" t="n">
        <v>2.637</v>
      </c>
      <c r="F348" s="1766" t="inlineStr">
        <is>
          <t>2963809</t>
        </is>
      </c>
      <c r="G348" s="1766" t="inlineStr">
        <is>
          <t>12527047-08</t>
        </is>
      </c>
      <c r="H348" s="1766" t="inlineStr">
        <is>
          <t>130010036868</t>
        </is>
      </c>
      <c r="I348" s="1766" t="inlineStr">
        <is>
          <t>N/A</t>
        </is>
      </c>
    </row>
    <row r="349" ht="75.75" customHeight="1" s="862">
      <c r="B349" s="1763" t="inlineStr">
        <is>
          <t>UPPER CONN. 3-1/2" VAM TOP 9.2#PPF SM 2535 BOX
DESCRIPTION: 5 FEET PUP JOINT
SAP: 130005002758
SUPPLIER: VAM
LOWER CONN. 3-1/2" VAM TOP 9.2#PPF SM 2535 PIN</t>
        </is>
      </c>
      <c r="C349" s="1764" t="n">
        <v>4.92</v>
      </c>
      <c r="D349" s="1765" t="n">
        <v>3.908</v>
      </c>
      <c r="E349" s="1765" t="n">
        <v>2.959</v>
      </c>
      <c r="F349" s="1766" t="inlineStr">
        <is>
          <t>N/A</t>
        </is>
      </c>
      <c r="G349" s="1766" t="inlineStr">
        <is>
          <t>N/A</t>
        </is>
      </c>
      <c r="H349" s="1766" t="inlineStr">
        <is>
          <t>130005002758</t>
        </is>
      </c>
      <c r="I349" s="1766" t="inlineStr">
        <is>
          <t>N/A</t>
        </is>
      </c>
    </row>
    <row r="350" ht="75.75" customHeight="1" s="862">
      <c r="B350" s="1763" t="inlineStr">
        <is>
          <t>UPPER CONN. 3-1/2" VAM TOP 9.2#PPF SM2535 BOX
DESCRIPTION: 10 FEET PUP JOINT
SAP: 130013000213
SUPPLIER: VAM
LOWER CONN. 3-1/2" VAM TOP 9.2#PPF SM2535 PIN</t>
        </is>
      </c>
      <c r="C350" s="1764" t="n">
        <v>9.92</v>
      </c>
      <c r="D350" s="1765" t="n">
        <v>3.908</v>
      </c>
      <c r="E350" s="1765" t="n">
        <v>2.959</v>
      </c>
      <c r="F350" s="1766" t="inlineStr">
        <is>
          <t>N/A</t>
        </is>
      </c>
      <c r="G350" s="1766" t="inlineStr">
        <is>
          <t>N/A</t>
        </is>
      </c>
      <c r="H350" s="1766" t="inlineStr">
        <is>
          <t>130013000213</t>
        </is>
      </c>
      <c r="I350" s="1766" t="inlineStr">
        <is>
          <t>N/A</t>
        </is>
      </c>
    </row>
    <row r="351" ht="150" customHeight="1" s="862">
      <c r="B351" s="1763"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764" t="n">
        <v>9.710000000000001</v>
      </c>
      <c r="D351" s="1765" t="n">
        <v>5.91</v>
      </c>
      <c r="E351" s="1765" t="n">
        <v>2.919</v>
      </c>
      <c r="F351" s="1766" t="inlineStr">
        <is>
          <t>2960170</t>
        </is>
      </c>
      <c r="G351" s="1766" t="inlineStr">
        <is>
          <t>12857761-01</t>
        </is>
      </c>
      <c r="H351" s="1766" t="inlineStr">
        <is>
          <t>130010037571</t>
        </is>
      </c>
      <c r="I351" s="1766" t="inlineStr">
        <is>
          <t>N/A</t>
        </is>
      </c>
    </row>
    <row r="352" ht="75.75" customHeight="1" s="862">
      <c r="B352" s="1763" t="inlineStr">
        <is>
          <t>UPPER CONN. 3-1/2" TSH BLUE BOX 9.2 PPF SN 28 110 KSI
DESCRIPTION: 5 FEET XOVER
SAP: 130005011444
SUPPLIER: TENARIS
LOWER CONN. 3-1/2" VAM TOP PIN 9.2 PPF SN 28 110 KSI</t>
        </is>
      </c>
      <c r="C352" s="1764" t="n">
        <v>4.99</v>
      </c>
      <c r="D352" s="1765" t="n">
        <v>3.937</v>
      </c>
      <c r="E352" s="1765" t="n">
        <v>2.969</v>
      </c>
      <c r="F352" s="1766" t="inlineStr">
        <is>
          <t>N/A</t>
        </is>
      </c>
      <c r="G352" s="1766" t="inlineStr">
        <is>
          <t>N/A</t>
        </is>
      </c>
      <c r="H352" s="1766" t="inlineStr">
        <is>
          <t>130005011444</t>
        </is>
      </c>
      <c r="I352" s="1766" t="inlineStr">
        <is>
          <t>N/A</t>
        </is>
      </c>
    </row>
    <row r="353" ht="14.25" customHeight="1" s="862">
      <c r="A353" s="910" t="inlineStr">
        <is>
          <t>JT.#148</t>
        </is>
      </c>
      <c r="B353" s="910" t="inlineStr">
        <is>
          <t>3-1/2" TUBING 9.2 LB/FT ALLOY 28 TSH BL</t>
        </is>
      </c>
      <c r="C353" s="1129" t="n">
        <v>31</v>
      </c>
    </row>
    <row r="354" ht="14.25" customHeight="1" s="862">
      <c r="A354" s="910" t="inlineStr">
        <is>
          <t>JT.#149</t>
        </is>
      </c>
      <c r="B354" s="910" t="inlineStr">
        <is>
          <t>3-1/2" TUBING 9.2 LB/FT ALLOY 28 TSH BL</t>
        </is>
      </c>
      <c r="C354" s="1129" t="n">
        <v>31</v>
      </c>
    </row>
    <row r="355" ht="14.25" customHeight="1" s="862">
      <c r="A355" s="910" t="inlineStr">
        <is>
          <t>JT.#150</t>
        </is>
      </c>
      <c r="B355" s="910" t="inlineStr">
        <is>
          <t>3-1/2" TUBING 9.2 LB/FT ALLOY 28 TSH BL</t>
        </is>
      </c>
      <c r="C355" s="1129" t="n">
        <v>31</v>
      </c>
    </row>
    <row r="356" ht="14.25" customHeight="1" s="862">
      <c r="A356" s="910" t="inlineStr">
        <is>
          <t>JT.#151</t>
        </is>
      </c>
      <c r="B356" s="910" t="inlineStr">
        <is>
          <t>3-1/2" TUBING 9.2 LB/FT ALLOY 28 TSH BL</t>
        </is>
      </c>
      <c r="C356" s="1129" t="n">
        <v>31</v>
      </c>
    </row>
    <row r="357" ht="14.25" customHeight="1" s="862">
      <c r="A357" s="910" t="inlineStr">
        <is>
          <t>JT.#152</t>
        </is>
      </c>
      <c r="B357" s="910" t="inlineStr">
        <is>
          <t>3-1/2" TUBING 9.2 LB/FT ALLOY 28 TSH BL</t>
        </is>
      </c>
      <c r="C357" s="1129" t="n">
        <v>31</v>
      </c>
    </row>
    <row r="358" ht="14.25" customHeight="1" s="862">
      <c r="A358" s="910" t="inlineStr">
        <is>
          <t>JT.#153</t>
        </is>
      </c>
      <c r="B358" s="910" t="inlineStr">
        <is>
          <t>3-1/2" TUBING 9.2 LB/FT ALLOY 28 TSH BL</t>
        </is>
      </c>
      <c r="C358" s="1129" t="n">
        <v>31</v>
      </c>
    </row>
    <row r="359" ht="14.25" customHeight="1" s="862">
      <c r="A359" s="910" t="inlineStr">
        <is>
          <t>JT.#154</t>
        </is>
      </c>
      <c r="B359" s="910" t="inlineStr">
        <is>
          <t>3-1/2" TUBING 9.2 LB/FT ALLOY 28 TSH BL</t>
        </is>
      </c>
      <c r="C359" s="1129" t="n">
        <v>31</v>
      </c>
    </row>
    <row r="360" ht="14.25" customHeight="1" s="862">
      <c r="A360" s="910" t="inlineStr">
        <is>
          <t>JT.#155</t>
        </is>
      </c>
      <c r="B360" s="910" t="inlineStr">
        <is>
          <t>3-1/2" TUBING 9.2 LB/FT ALLOY 28 TSH BL</t>
        </is>
      </c>
      <c r="C360" s="1129" t="n">
        <v>31</v>
      </c>
    </row>
    <row r="361" ht="14.25" customHeight="1" s="862">
      <c r="A361" s="910" t="inlineStr">
        <is>
          <t>JT.#156</t>
        </is>
      </c>
      <c r="B361" s="910" t="inlineStr">
        <is>
          <t>3-1/2" TUBING 9.2 LB/FT ALLOY 28 TSH BL</t>
        </is>
      </c>
      <c r="C361" s="1129" t="n">
        <v>31</v>
      </c>
    </row>
    <row r="362" ht="14.25" customHeight="1" s="862">
      <c r="A362" s="910" t="inlineStr">
        <is>
          <t>JT.#157</t>
        </is>
      </c>
      <c r="B362" s="910" t="inlineStr">
        <is>
          <t>3-1/2" TUBING 9.2 LB/FT ALLOY 28 TSH BL</t>
        </is>
      </c>
      <c r="C362" s="1129" t="n">
        <v>31</v>
      </c>
    </row>
    <row r="363" ht="14.25" customHeight="1" s="862">
      <c r="A363" s="910" t="inlineStr">
        <is>
          <t>JT.#158</t>
        </is>
      </c>
      <c r="B363" s="910" t="inlineStr">
        <is>
          <t>3-1/2" TUBING 9.2 LB/FT ALLOY 28 TSH BL</t>
        </is>
      </c>
      <c r="C363" s="1129" t="n">
        <v>31</v>
      </c>
    </row>
    <row r="364" ht="14.25" customHeight="1" s="862">
      <c r="A364" s="910" t="inlineStr">
        <is>
          <t>JT.#159</t>
        </is>
      </c>
      <c r="B364" s="910" t="inlineStr">
        <is>
          <t>3-1/2" TUBING 9.2 LB/FT ALLOY 28 TSH BL</t>
        </is>
      </c>
      <c r="C364" s="1129" t="n">
        <v>31</v>
      </c>
    </row>
    <row r="365" ht="14.25" customHeight="1" s="862">
      <c r="A365" s="910" t="inlineStr">
        <is>
          <t>JT.#160</t>
        </is>
      </c>
      <c r="B365" s="910" t="inlineStr">
        <is>
          <t>3-1/2" TUBING 9.2 LB/FT ALLOY 28 TSH BL</t>
        </is>
      </c>
      <c r="C365" s="1129" t="n">
        <v>31</v>
      </c>
    </row>
    <row r="366" ht="14.25" customHeight="1" s="862">
      <c r="A366" s="910" t="inlineStr">
        <is>
          <t>JT.#161</t>
        </is>
      </c>
      <c r="B366" s="910" t="inlineStr">
        <is>
          <t>3-1/2" TUBING 9.2 LB/FT ALLOY 28 TSH BL</t>
        </is>
      </c>
      <c r="C366" s="1129" t="n">
        <v>31</v>
      </c>
    </row>
    <row r="367" ht="14.25" customHeight="1" s="862">
      <c r="A367" s="910" t="inlineStr">
        <is>
          <t>JT.#162</t>
        </is>
      </c>
      <c r="B367" s="910" t="inlineStr">
        <is>
          <t>3-1/2" TUBING 9.2 LB/FT ALLOY 28 TSH BL</t>
        </is>
      </c>
      <c r="C367" s="1129" t="n">
        <v>31</v>
      </c>
    </row>
    <row r="368" ht="14.25" customHeight="1" s="862">
      <c r="A368" s="910" t="inlineStr">
        <is>
          <t>JT.#163</t>
        </is>
      </c>
      <c r="B368" s="910" t="inlineStr">
        <is>
          <t>3-1/2" TUBING 9.2 LB/FT ALLOY 28 TSH BL</t>
        </is>
      </c>
      <c r="C368" s="1129" t="n">
        <v>31</v>
      </c>
    </row>
    <row r="369" ht="14.25" customHeight="1" s="862">
      <c r="A369" s="910" t="inlineStr">
        <is>
          <t>JT.#164</t>
        </is>
      </c>
      <c r="B369" s="910" t="inlineStr">
        <is>
          <t>3-1/2" TUBING 9.2 LB/FT ALLOY 28 TSH BL</t>
        </is>
      </c>
      <c r="C369" s="1129" t="n">
        <v>31</v>
      </c>
    </row>
    <row r="370" ht="14.25" customHeight="1" s="862">
      <c r="A370" s="910" t="inlineStr">
        <is>
          <t>JT.#165</t>
        </is>
      </c>
      <c r="B370" s="910" t="inlineStr">
        <is>
          <t>3-1/2" TUBING 9.2 LB/FT ALLOY 28 TSH BL</t>
        </is>
      </c>
      <c r="C370" s="1129" t="n">
        <v>31</v>
      </c>
    </row>
    <row r="371" ht="14.25" customHeight="1" s="862">
      <c r="A371" s="910" t="inlineStr">
        <is>
          <t>JT.#166</t>
        </is>
      </c>
      <c r="B371" s="910" t="inlineStr">
        <is>
          <t>3-1/2" TUBING 9.2 LB/FT ALLOY 28 TSH BL</t>
        </is>
      </c>
      <c r="C371" s="1129" t="n">
        <v>31</v>
      </c>
    </row>
    <row r="372" ht="14.25" customHeight="1" s="862">
      <c r="A372" s="910" t="inlineStr">
        <is>
          <t>JT.#167</t>
        </is>
      </c>
      <c r="B372" s="910" t="inlineStr">
        <is>
          <t>3-1/2" TUBING 9.2 LB/FT ALLOY 28 TSH BL</t>
        </is>
      </c>
      <c r="C372" s="1129" t="n">
        <v>31</v>
      </c>
    </row>
    <row r="373" ht="14.25" customHeight="1" s="862">
      <c r="A373" s="910" t="inlineStr">
        <is>
          <t>JT.#168</t>
        </is>
      </c>
      <c r="B373" s="910" t="inlineStr">
        <is>
          <t>3-1/2" TUBING 9.2 LB/FT ALLOY 28 TSH BL</t>
        </is>
      </c>
      <c r="C373" s="1129" t="n">
        <v>31</v>
      </c>
    </row>
    <row r="374" ht="14.25" customHeight="1" s="862">
      <c r="A374" s="910" t="inlineStr">
        <is>
          <t>JT.#169</t>
        </is>
      </c>
      <c r="B374" s="910" t="inlineStr">
        <is>
          <t>3-1/2" TUBING 9.2 LB/FT ALLOY 28 TSH BL</t>
        </is>
      </c>
      <c r="C374" s="1129" t="n">
        <v>31</v>
      </c>
    </row>
    <row r="375" ht="14.25" customHeight="1" s="862">
      <c r="A375" s="910" t="inlineStr">
        <is>
          <t>JT.#170</t>
        </is>
      </c>
      <c r="B375" s="910" t="inlineStr">
        <is>
          <t>3-1/2" TUBING 9.2 LB/FT ALLOY 28 TSH BL</t>
        </is>
      </c>
      <c r="C375" s="1129" t="n">
        <v>31</v>
      </c>
    </row>
    <row r="376" ht="14.25" customHeight="1" s="862">
      <c r="A376" s="910" t="inlineStr">
        <is>
          <t>JT.#171</t>
        </is>
      </c>
      <c r="B376" s="910" t="inlineStr">
        <is>
          <t>3-1/2" TUBING 9.2 LB/FT ALLOY 28 TSH BL</t>
        </is>
      </c>
      <c r="C376" s="1129" t="n">
        <v>31</v>
      </c>
    </row>
    <row r="377" ht="14.25" customHeight="1" s="862">
      <c r="A377" s="910" t="inlineStr">
        <is>
          <t>JT.#172</t>
        </is>
      </c>
      <c r="B377" s="910" t="inlineStr">
        <is>
          <t>3-1/2" TUBING 9.2 LB/FT ALLOY 28 TSH BL</t>
        </is>
      </c>
      <c r="C377" s="1129" t="n">
        <v>31</v>
      </c>
    </row>
    <row r="378" ht="14.25" customHeight="1" s="862">
      <c r="A378" s="910" t="inlineStr">
        <is>
          <t>JT.#173</t>
        </is>
      </c>
      <c r="B378" s="910" t="inlineStr">
        <is>
          <t>3-1/2" TUBING 9.2 LB/FT ALLOY 28 TSH BL</t>
        </is>
      </c>
      <c r="C378" s="1129" t="n">
        <v>31</v>
      </c>
    </row>
    <row r="379" ht="14.25" customHeight="1" s="862">
      <c r="A379" s="910" t="inlineStr">
        <is>
          <t>JT.#174</t>
        </is>
      </c>
      <c r="B379" s="910" t="inlineStr">
        <is>
          <t>3-1/2" TUBING 9.2 LB/FT ALLOY 28 TSH BL</t>
        </is>
      </c>
      <c r="C379" s="1129" t="n">
        <v>31</v>
      </c>
    </row>
    <row r="380" ht="14.25" customHeight="1" s="862">
      <c r="A380" s="910" t="inlineStr">
        <is>
          <t>JT.#175</t>
        </is>
      </c>
      <c r="B380" s="910" t="inlineStr">
        <is>
          <t>3-1/2" TUBING 9.2 LB/FT ALLOY 28 TSH BL</t>
        </is>
      </c>
      <c r="C380" s="1129" t="n">
        <v>31</v>
      </c>
    </row>
    <row r="381" ht="14.25" customHeight="1" s="862">
      <c r="A381" s="910" t="inlineStr">
        <is>
          <t>JT.#176</t>
        </is>
      </c>
      <c r="B381" s="910" t="inlineStr">
        <is>
          <t>3-1/2" TUBING 9.2 LB/FT ALLOY 28 TSH BL</t>
        </is>
      </c>
      <c r="C381" s="1129" t="n">
        <v>31</v>
      </c>
    </row>
    <row r="382" ht="14.25" customHeight="1" s="862">
      <c r="A382" s="910" t="inlineStr">
        <is>
          <t>JT.#177</t>
        </is>
      </c>
      <c r="B382" s="910" t="inlineStr">
        <is>
          <t>3-1/2" TUBING 9.2 LB/FT ALLOY 28 TSH BL</t>
        </is>
      </c>
      <c r="C382" s="1129" t="n">
        <v>31</v>
      </c>
    </row>
    <row r="383" ht="14.25" customHeight="1" s="862">
      <c r="A383" s="910" t="inlineStr">
        <is>
          <t>JT.#178</t>
        </is>
      </c>
      <c r="B383" s="910" t="inlineStr">
        <is>
          <t>3-1/2" TUBING 9.2 LB/FT ALLOY 28 TSH BL</t>
        </is>
      </c>
      <c r="C383" s="1129" t="n">
        <v>31</v>
      </c>
    </row>
    <row r="384" ht="14.25" customHeight="1" s="862">
      <c r="A384" s="910" t="inlineStr">
        <is>
          <t>JT.#179</t>
        </is>
      </c>
      <c r="B384" s="910" t="inlineStr">
        <is>
          <t>3-1/2" TUBING 9.2 LB/FT ALLOY 28 TSH BL</t>
        </is>
      </c>
      <c r="C384" s="1129" t="n">
        <v>31</v>
      </c>
    </row>
    <row r="385" ht="14.25" customHeight="1" s="862">
      <c r="A385" s="910" t="inlineStr">
        <is>
          <t>JT.#180</t>
        </is>
      </c>
      <c r="B385" s="910" t="inlineStr">
        <is>
          <t>3-1/2" TUBING 9.2 LB/FT ALLOY 28 TSH BL</t>
        </is>
      </c>
      <c r="C385" s="1129" t="n">
        <v>31</v>
      </c>
    </row>
    <row r="386" ht="14.25" customHeight="1" s="862">
      <c r="A386" s="910" t="inlineStr">
        <is>
          <t>JT.#181</t>
        </is>
      </c>
      <c r="B386" s="910" t="inlineStr">
        <is>
          <t>3-1/2" TUBING 9.2 LB/FT ALLOY 28 TSH BL</t>
        </is>
      </c>
      <c r="C386" s="1129" t="n">
        <v>31</v>
      </c>
    </row>
    <row r="387" ht="14.25" customHeight="1" s="862">
      <c r="A387" s="910" t="inlineStr">
        <is>
          <t>JT.#182</t>
        </is>
      </c>
      <c r="B387" s="910" t="inlineStr">
        <is>
          <t>3-1/2" TUBING 9.2 LB/FT ALLOY 28 TSH BL</t>
        </is>
      </c>
      <c r="C387" s="1129" t="n">
        <v>31</v>
      </c>
    </row>
    <row r="388" ht="14.25" customHeight="1" s="862">
      <c r="A388" s="910" t="inlineStr">
        <is>
          <t>JT.#183</t>
        </is>
      </c>
      <c r="B388" s="910" t="inlineStr">
        <is>
          <t>3-1/2" TUBING 9.2 LB/FT ALLOY 28 TSH BL</t>
        </is>
      </c>
      <c r="C388" s="1129" t="n">
        <v>31</v>
      </c>
    </row>
    <row r="389" ht="14.25" customHeight="1" s="862">
      <c r="A389" s="910" t="inlineStr">
        <is>
          <t>JT.#184</t>
        </is>
      </c>
      <c r="B389" s="910" t="inlineStr">
        <is>
          <t>3-1/2" TUBING 9.2 LB/FT ALLOY 28 TSH BL</t>
        </is>
      </c>
      <c r="C389" s="1129" t="n">
        <v>31</v>
      </c>
    </row>
    <row r="390" ht="14.25" customHeight="1" s="862">
      <c r="A390" s="910" t="inlineStr">
        <is>
          <t>JT.#185</t>
        </is>
      </c>
      <c r="B390" s="910" t="inlineStr">
        <is>
          <t>3-1/2" TUBING 9.2 LB/FT ALLOY 28 TSH BL</t>
        </is>
      </c>
      <c r="C390" s="1129" t="n">
        <v>31</v>
      </c>
    </row>
    <row r="391" ht="14.25" customHeight="1" s="862">
      <c r="A391" s="910" t="inlineStr">
        <is>
          <t>JT.#186</t>
        </is>
      </c>
      <c r="B391" s="910" t="inlineStr">
        <is>
          <t>3-1/2" TUBING 9.2 LB/FT ALLOY 28 TSH BL</t>
        </is>
      </c>
      <c r="C391" s="1129" t="n">
        <v>31</v>
      </c>
    </row>
    <row r="392" ht="14.25" customHeight="1" s="862">
      <c r="A392" s="910" t="inlineStr">
        <is>
          <t>JT.#187</t>
        </is>
      </c>
      <c r="B392" s="910" t="inlineStr">
        <is>
          <t>3-1/2" TUBING 9.2 LB/FT ALLOY 28 TSH BL</t>
        </is>
      </c>
      <c r="C392" s="1129" t="n">
        <v>31</v>
      </c>
    </row>
    <row r="393" ht="14.25" customHeight="1" s="862">
      <c r="A393" s="910" t="inlineStr">
        <is>
          <t>JT.#188</t>
        </is>
      </c>
      <c r="B393" s="910" t="inlineStr">
        <is>
          <t>3-1/2" TUBING 9.2 LB/FT ALLOY 28 TSH BL</t>
        </is>
      </c>
      <c r="C393" s="1129" t="n">
        <v>31</v>
      </c>
    </row>
    <row r="394" ht="14.25" customHeight="1" s="862">
      <c r="A394" s="910" t="inlineStr">
        <is>
          <t>JT.#189</t>
        </is>
      </c>
      <c r="B394" s="910" t="inlineStr">
        <is>
          <t>3-1/2" TUBING 9.2 LB/FT ALLOY 28 TSH BL</t>
        </is>
      </c>
      <c r="C394" s="1129" t="n">
        <v>31</v>
      </c>
    </row>
    <row r="395" ht="14.25" customHeight="1" s="862">
      <c r="A395" s="910" t="inlineStr">
        <is>
          <t>JT.#190</t>
        </is>
      </c>
      <c r="B395" s="910" t="inlineStr">
        <is>
          <t>3-1/2" TUBING 9.2 LB/FT ALLOY 28 TSH BL</t>
        </is>
      </c>
      <c r="C395" s="1129" t="n">
        <v>31</v>
      </c>
    </row>
    <row r="396" ht="14.25" customHeight="1" s="862">
      <c r="A396" s="910" t="inlineStr">
        <is>
          <t>JT.#191</t>
        </is>
      </c>
      <c r="B396" s="910" t="inlineStr">
        <is>
          <t>3-1/2" TUBING 9.2 LB/FT ALLOY 28 TSH BL</t>
        </is>
      </c>
      <c r="C396" s="1129" t="n">
        <v>31</v>
      </c>
    </row>
    <row r="397" ht="14.25" customHeight="1" s="862">
      <c r="A397" s="910" t="inlineStr">
        <is>
          <t>JT.#192</t>
        </is>
      </c>
      <c r="B397" s="910" t="inlineStr">
        <is>
          <t>3-1/2" TUBING 9.2 LB/FT ALLOY 28 TSH BL</t>
        </is>
      </c>
      <c r="C397" s="1129" t="n">
        <v>31</v>
      </c>
    </row>
    <row r="398" ht="75.75" customHeight="1" s="862">
      <c r="A398" s="1767" t="inlineStr">
        <is>
          <t>D1</t>
        </is>
      </c>
      <c r="B398" s="1768" t="inlineStr">
        <is>
          <t>UPPER CONN. 3-1/2" VAM TOP BOX 9.2 PPF SN 28 110 KSI
DESCRIPTION: 5 FEET XOVER
SAP: 130005011340
SUPPLIER: TENARIS
LOWER CONN. 3-1/2" TSH BLUE PIN 9.2 PPF SN 28 110 KSI</t>
        </is>
      </c>
      <c r="C398" s="1769" t="n">
        <v>5.2</v>
      </c>
      <c r="D398" s="1770" t="n">
        <v>3.908</v>
      </c>
      <c r="E398" s="1770" t="n">
        <v>2.959</v>
      </c>
      <c r="F398" s="1771" t="inlineStr">
        <is>
          <t>N/A</t>
        </is>
      </c>
      <c r="G398" s="1771" t="inlineStr">
        <is>
          <t>N/A</t>
        </is>
      </c>
      <c r="H398" s="1771" t="inlineStr">
        <is>
          <t>130005011340</t>
        </is>
      </c>
      <c r="I398" s="1771" t="inlineStr">
        <is>
          <t>N/A</t>
        </is>
      </c>
    </row>
    <row r="399" ht="75.75" customHeight="1" s="862">
      <c r="B399" s="1768" t="inlineStr">
        <is>
          <t>UPPER CONN. 3-1/2" SENTINEL PRIME BOX 9.2 PPF TX28-110 KSI
DESCRIPTION: 5 FEET XOVER
SAP: 130013006385
SUPPLIER: TBX
LOWER CONN. 3-1/2" VAM TOP PIN 9.2 PPF TX28-110 KSI</t>
        </is>
      </c>
      <c r="C399" s="1769" t="n">
        <v>4.96</v>
      </c>
      <c r="D399" s="1770" t="n">
        <v>3.929</v>
      </c>
      <c r="E399" s="1770" t="n">
        <v>2.921</v>
      </c>
      <c r="F399" s="1771" t="inlineStr">
        <is>
          <t>N/A</t>
        </is>
      </c>
      <c r="G399" s="1771" t="inlineStr">
        <is>
          <t>N/A</t>
        </is>
      </c>
      <c r="H399" s="1771" t="inlineStr">
        <is>
          <t>130013006385</t>
        </is>
      </c>
      <c r="I399" s="1771" t="inlineStr">
        <is>
          <t>N/A</t>
        </is>
      </c>
    </row>
    <row r="400" ht="135.75" customHeight="1" s="862">
      <c r="B400" s="1768"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769" t="n">
        <v>8.69</v>
      </c>
      <c r="D400" s="1770" t="n">
        <v>5.82</v>
      </c>
      <c r="E400" s="1770" t="n">
        <v>2.9</v>
      </c>
      <c r="F400" s="1771" t="inlineStr">
        <is>
          <t>3205577</t>
        </is>
      </c>
      <c r="G400" s="1771" t="inlineStr">
        <is>
          <t>12636080-03</t>
        </is>
      </c>
      <c r="H400" s="1771" t="inlineStr">
        <is>
          <t>130010036652</t>
        </is>
      </c>
      <c r="I400" s="1771" t="inlineStr">
        <is>
          <t>N/A</t>
        </is>
      </c>
    </row>
    <row r="401" ht="75.75" customHeight="1" s="862">
      <c r="B401" s="1768" t="inlineStr">
        <is>
          <t>UPPER CONN. 3-1/2" VAM TOP BOX 9.2 PPF TX28- 110 KSI
DESCRIPTION: 5 FEET XOVER
SAP: 130013006383
SUPPLIER: TBX
LOWER CONN -3-1/2" SENTINEL PRIME PIN 9.2 PPF TX28-110 KSI</t>
        </is>
      </c>
      <c r="C401" s="1769" t="n">
        <v>4.85</v>
      </c>
      <c r="D401" s="1770" t="n">
        <v>3.908</v>
      </c>
      <c r="E401" s="1770" t="n">
        <v>2.959</v>
      </c>
      <c r="F401" s="1771" t="inlineStr">
        <is>
          <t>N/A</t>
        </is>
      </c>
      <c r="G401" s="1771" t="inlineStr">
        <is>
          <t>N/A</t>
        </is>
      </c>
      <c r="H401" s="1771" t="inlineStr">
        <is>
          <t>130013006383</t>
        </is>
      </c>
      <c r="I401" s="1771" t="inlineStr">
        <is>
          <t>N/A</t>
        </is>
      </c>
    </row>
    <row r="402" ht="75.75" customHeight="1" s="862">
      <c r="B402" s="1768" t="inlineStr">
        <is>
          <t>UPPER CONN. 3-1/2" TSH BLUE BOX 9.2 PPF SN 28 110 KSI
DESCRIPTION: 10 FEET XOVER
SAP: 130005012487
SUPPLIER: TENARIS
LOWER CONN. 3-1/2" VAM TOP PIN 9.2 PPF SN 28 110 KSI</t>
        </is>
      </c>
      <c r="C402" s="1769" t="n">
        <v>9.949999999999999</v>
      </c>
      <c r="D402" s="1770" t="n">
        <v>3.937</v>
      </c>
      <c r="E402" s="1770" t="n">
        <v>2.969</v>
      </c>
      <c r="F402" s="1771" t="inlineStr">
        <is>
          <t>N/A</t>
        </is>
      </c>
      <c r="G402" s="1771" t="inlineStr">
        <is>
          <t>N/A</t>
        </is>
      </c>
      <c r="H402" s="1771" t="inlineStr">
        <is>
          <t>130005012487</t>
        </is>
      </c>
      <c r="I402" s="1771" t="inlineStr">
        <is>
          <t>N/A</t>
        </is>
      </c>
    </row>
    <row r="403" ht="14.25" customHeight="1" s="862">
      <c r="A403" s="910" t="inlineStr">
        <is>
          <t>JT.#193</t>
        </is>
      </c>
      <c r="B403" s="910" t="inlineStr">
        <is>
          <t>3-1/2" TUBING 9.2 LB/FT ALLOY 28 TSH BL</t>
        </is>
      </c>
      <c r="C403" s="1129" t="n">
        <v>31</v>
      </c>
    </row>
    <row r="404" ht="14.25" customHeight="1" s="862">
      <c r="A404" s="910" t="inlineStr">
        <is>
          <t>JT.#194</t>
        </is>
      </c>
      <c r="B404" s="910" t="inlineStr">
        <is>
          <t>3-1/2" TUBING 9.2 LB/FT ALLOY 28 TSH BL</t>
        </is>
      </c>
      <c r="C404" s="1129" t="n">
        <v>31</v>
      </c>
    </row>
    <row r="405" ht="14.25" customHeight="1" s="862">
      <c r="A405" s="910" t="inlineStr">
        <is>
          <t>JT.#195</t>
        </is>
      </c>
      <c r="B405" s="910" t="inlineStr">
        <is>
          <t>3-1/2" TUBING 9.2 LB/FT ALLOY 28 TSH BL</t>
        </is>
      </c>
      <c r="C405" s="1129" t="n">
        <v>31</v>
      </c>
    </row>
    <row r="406" ht="14.25" customHeight="1" s="862">
      <c r="A406" s="910" t="inlineStr">
        <is>
          <t>JT.#196</t>
        </is>
      </c>
      <c r="B406" s="910" t="inlineStr">
        <is>
          <t>3-1/2" TUBING 9.2 LB/FT ALLOY 28 TSH BL</t>
        </is>
      </c>
      <c r="C406" s="1129" t="n">
        <v>31</v>
      </c>
    </row>
    <row r="407" ht="14.25" customHeight="1" s="862">
      <c r="A407" s="910" t="inlineStr">
        <is>
          <t>JT.#197</t>
        </is>
      </c>
      <c r="B407" s="910" t="inlineStr">
        <is>
          <t>3-1/2" TUBING 9.2 LB/FT ALLOY 28 TSH BL</t>
        </is>
      </c>
      <c r="C407" s="1129" t="n">
        <v>31</v>
      </c>
    </row>
    <row r="408" ht="14.25" customHeight="1" s="862">
      <c r="A408" s="910" t="inlineStr">
        <is>
          <t>JT.#198</t>
        </is>
      </c>
      <c r="B408" s="910" t="inlineStr">
        <is>
          <t>3-1/2" TUBING 9.2 LB/FT ALLOY 28 TSH BL</t>
        </is>
      </c>
      <c r="C408" s="1129" t="n">
        <v>31</v>
      </c>
    </row>
    <row r="409" ht="14.25" customHeight="1" s="862">
      <c r="A409" s="910" t="inlineStr">
        <is>
          <t>JT.#199</t>
        </is>
      </c>
      <c r="B409" s="910" t="inlineStr">
        <is>
          <t>3-1/2" TUBING 9.2 LB/FT ALLOY 28 TSH BL</t>
        </is>
      </c>
      <c r="C409" s="1129" t="n">
        <v>31</v>
      </c>
    </row>
    <row r="410" ht="14.25" customHeight="1" s="862">
      <c r="A410" s="910" t="inlineStr">
        <is>
          <t>JT.#200</t>
        </is>
      </c>
      <c r="B410" s="910" t="inlineStr">
        <is>
          <t>3-1/2" TUBING 9.2 LB/FT ALLOY 28 TSH BL</t>
        </is>
      </c>
      <c r="C410" s="1129" t="n">
        <v>31</v>
      </c>
    </row>
    <row r="411" ht="14.25" customHeight="1" s="862">
      <c r="A411" s="910" t="inlineStr">
        <is>
          <t>JT.#201</t>
        </is>
      </c>
      <c r="B411" s="910" t="inlineStr">
        <is>
          <t>3-1/2" TUBING 9.2 LB/FT ALLOY 28 TSH BL</t>
        </is>
      </c>
      <c r="C411" s="1129" t="n">
        <v>31</v>
      </c>
    </row>
    <row r="412" ht="14.25" customHeight="1" s="862">
      <c r="A412" s="910" t="inlineStr">
        <is>
          <t>JT.#202</t>
        </is>
      </c>
      <c r="B412" s="910" t="inlineStr">
        <is>
          <t>3-1/2" TUBING 9.2 LB/FT ALLOY 28 TSH BL</t>
        </is>
      </c>
      <c r="C412" s="1129" t="n">
        <v>31</v>
      </c>
    </row>
    <row r="413" ht="14.25" customHeight="1" s="862">
      <c r="A413" s="910" t="inlineStr">
        <is>
          <t>JT.#203</t>
        </is>
      </c>
      <c r="B413" s="910" t="inlineStr">
        <is>
          <t>3-1/2" TUBING 9.2 LB/FT ALLOY 28 TSH BL</t>
        </is>
      </c>
      <c r="C413" s="1129" t="n">
        <v>31</v>
      </c>
    </row>
    <row r="414" ht="14.25" customHeight="1" s="862">
      <c r="A414" s="910" t="inlineStr">
        <is>
          <t>JT.#204</t>
        </is>
      </c>
      <c r="B414" s="910" t="inlineStr">
        <is>
          <t>3-1/2" TUBING 9.2 LB/FT ALLOY 28 TSH BL</t>
        </is>
      </c>
      <c r="C414" s="1129" t="n">
        <v>31</v>
      </c>
    </row>
    <row r="415" ht="14.25" customHeight="1" s="862">
      <c r="A415" s="910" t="inlineStr">
        <is>
          <t>JT.#205</t>
        </is>
      </c>
      <c r="B415" s="910" t="inlineStr">
        <is>
          <t>3-1/2" TUBING 9.2 LB/FT ALLOY 28 TSH BL</t>
        </is>
      </c>
      <c r="C415" s="1129" t="n">
        <v>31</v>
      </c>
    </row>
    <row r="416" ht="14.25" customHeight="1" s="862">
      <c r="A416" s="910" t="inlineStr">
        <is>
          <t>JT.#206</t>
        </is>
      </c>
      <c r="B416" s="910" t="inlineStr">
        <is>
          <t>3-1/2" TUBING 9.2 LB/FT ALLOY 28 TSH BL</t>
        </is>
      </c>
      <c r="C416" s="1129" t="n">
        <v>31</v>
      </c>
    </row>
    <row r="417" ht="14.25" customHeight="1" s="862">
      <c r="A417" s="910" t="inlineStr">
        <is>
          <t>JT.#207</t>
        </is>
      </c>
      <c r="B417" s="910" t="inlineStr">
        <is>
          <t>3-1/2" TUBING 9.2 LB/FT ALLOY 28 TSH BL</t>
        </is>
      </c>
      <c r="C417" s="1129" t="n">
        <v>31</v>
      </c>
    </row>
    <row r="418" ht="75.75" customHeight="1" s="862">
      <c r="A418" s="1772" t="inlineStr">
        <is>
          <t>D2</t>
        </is>
      </c>
      <c r="B418" s="1773" t="inlineStr">
        <is>
          <t>UPPER CONN. 3-1/2" VAM TOP BOX 9.2 PPF SN 28 110 KSI
DESCRIPTION: 5 FEET XOVER
SAP: 130005011340
SUPPLIER: TENARIS
LOWER CONN. 3-1/2" TSH BLUE PIN 9.2 PPF SN 28 110 KSI</t>
        </is>
      </c>
      <c r="C418" s="1774" t="n">
        <v>5.18</v>
      </c>
      <c r="D418" s="1775" t="n">
        <v>3.908</v>
      </c>
      <c r="E418" s="1775" t="n">
        <v>2.959</v>
      </c>
      <c r="F418" s="1776" t="inlineStr">
        <is>
          <t>N/A</t>
        </is>
      </c>
      <c r="G418" s="1776" t="inlineStr">
        <is>
          <t>N/A</t>
        </is>
      </c>
      <c r="H418" s="1776" t="inlineStr">
        <is>
          <t>130005011340</t>
        </is>
      </c>
      <c r="I418" s="1776" t="inlineStr">
        <is>
          <t>N/A</t>
        </is>
      </c>
    </row>
    <row r="419" ht="75.75" customHeight="1" s="862">
      <c r="B419" s="1773" t="inlineStr">
        <is>
          <t>UPPER CONN. 3-1/2" SENTINEL PRIME BOX 9.2 PPF TX28- 110 KSI
DESCRIPTION: 5 FEET XOVER
SAP: 130013006385
SUPPLIER: TBX
LOWER CONN. 3-1/2" VAM TOP PIN 9.2 PPF TX28-110 KSI</t>
        </is>
      </c>
      <c r="C419" s="1774" t="n">
        <v>4.97</v>
      </c>
      <c r="D419" s="1775" t="n">
        <v>3.929</v>
      </c>
      <c r="E419" s="1775" t="n">
        <v>2.921</v>
      </c>
      <c r="F419" s="1776" t="inlineStr">
        <is>
          <t>N/A</t>
        </is>
      </c>
      <c r="G419" s="1776" t="inlineStr">
        <is>
          <t>N/A</t>
        </is>
      </c>
      <c r="H419" s="1776" t="inlineStr">
        <is>
          <t>130013006385</t>
        </is>
      </c>
      <c r="I419" s="1776" t="inlineStr">
        <is>
          <t>N/A</t>
        </is>
      </c>
    </row>
    <row r="420" ht="135.75" customHeight="1" s="862">
      <c r="B420" s="1773"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774" t="n">
        <v>8.69</v>
      </c>
      <c r="D420" s="1775" t="n">
        <v>5.82</v>
      </c>
      <c r="E420" s="1775" t="n">
        <v>2.9</v>
      </c>
      <c r="F420" s="1776" t="inlineStr">
        <is>
          <t>3205577</t>
        </is>
      </c>
      <c r="G420" s="1776" t="inlineStr">
        <is>
          <t>12636080-05</t>
        </is>
      </c>
      <c r="H420" s="1776" t="inlineStr">
        <is>
          <t>130010036652</t>
        </is>
      </c>
      <c r="I420" s="1776" t="inlineStr">
        <is>
          <t>N/A</t>
        </is>
      </c>
    </row>
    <row r="421" ht="75.75" customHeight="1" s="862">
      <c r="B421" s="1773" t="inlineStr">
        <is>
          <t>UPPER CONN. 3-1/2" VAM TOP BOX 9.2 PPF TX28- 110 KSI
DESCRIPTION: 5 FEET XOVER
SAP: 130013006383
SUPPLIER: TBX
LOWER CONN -3-1/2" SENTINEL PRIME PIN 9.2 PPF TX28-110 KSI</t>
        </is>
      </c>
      <c r="C421" s="1774" t="n">
        <v>4.8</v>
      </c>
      <c r="D421" s="1775" t="n">
        <v>3.908</v>
      </c>
      <c r="E421" s="1775" t="n">
        <v>2.959</v>
      </c>
      <c r="F421" s="1776" t="inlineStr">
        <is>
          <t>N/A</t>
        </is>
      </c>
      <c r="G421" s="1776" t="inlineStr">
        <is>
          <t>N/A</t>
        </is>
      </c>
      <c r="H421" s="1776" t="inlineStr">
        <is>
          <t>130013006383</t>
        </is>
      </c>
      <c r="I421" s="1776" t="inlineStr">
        <is>
          <t>N/A</t>
        </is>
      </c>
    </row>
    <row r="422" ht="75.75" customHeight="1" s="862">
      <c r="B422" s="1773" t="inlineStr">
        <is>
          <t>UPPER CONN. 3-1/2" TSH BLUE BOX 9.2 PPF SN 28 110 KSI
DESCRIPTION: 10 FEET XOVER
SAP: 130005012487
SUPPLIER: TENARIS
LOWER CONN. 3-1/2" VAM TOP PIN 9.2 PPF SN 28 110 KSI</t>
        </is>
      </c>
      <c r="C422" s="1774" t="n">
        <v>9.949999999999999</v>
      </c>
      <c r="D422" s="1775" t="n">
        <v>3.937</v>
      </c>
      <c r="E422" s="1775" t="n">
        <v>2.969</v>
      </c>
      <c r="F422" s="1776" t="inlineStr">
        <is>
          <t>N/A</t>
        </is>
      </c>
      <c r="G422" s="1776" t="inlineStr">
        <is>
          <t>N/A</t>
        </is>
      </c>
      <c r="H422" s="1776" t="inlineStr">
        <is>
          <t>130005012487</t>
        </is>
      </c>
      <c r="I422" s="1776" t="inlineStr">
        <is>
          <t>N/A</t>
        </is>
      </c>
    </row>
    <row r="423" ht="14.25" customHeight="1" s="862">
      <c r="A423" s="910" t="inlineStr">
        <is>
          <t>JT.#208</t>
        </is>
      </c>
      <c r="B423" s="910" t="inlineStr">
        <is>
          <t>3-1/2" TUBING 9.2 LB/FT ALLOY 28 TSH BL</t>
        </is>
      </c>
      <c r="C423" s="1129" t="n">
        <v>31</v>
      </c>
    </row>
    <row r="424" ht="14.25" customHeight="1" s="862">
      <c r="A424" s="910" t="inlineStr">
        <is>
          <t>JT.#209</t>
        </is>
      </c>
      <c r="B424" s="910" t="inlineStr">
        <is>
          <t>3-1/2" TUBING 9.2 LB/FT ALLOY 28 TSH BL</t>
        </is>
      </c>
      <c r="C424" s="1129" t="n">
        <v>31</v>
      </c>
    </row>
    <row r="425" ht="14.25" customHeight="1" s="862">
      <c r="A425" s="910" t="inlineStr">
        <is>
          <t>JT.#210</t>
        </is>
      </c>
      <c r="B425" s="910" t="inlineStr">
        <is>
          <t>3-1/2" TUBING 9.2 LB/FT ALLOY 28 TSH BL</t>
        </is>
      </c>
      <c r="C425" s="1129" t="n">
        <v>31</v>
      </c>
    </row>
    <row r="426" ht="14.25" customHeight="1" s="862">
      <c r="A426" s="910" t="inlineStr">
        <is>
          <t>JT.#211</t>
        </is>
      </c>
      <c r="B426" s="910" t="inlineStr">
        <is>
          <t>3-1/2" TUBING 9.2 LB/FT ALLOY 28 TSH BL</t>
        </is>
      </c>
      <c r="C426" s="1129" t="n">
        <v>31</v>
      </c>
    </row>
    <row r="427" ht="14.25" customHeight="1" s="862">
      <c r="A427" s="910" t="inlineStr">
        <is>
          <t>JT.#212</t>
        </is>
      </c>
      <c r="B427" s="910" t="inlineStr">
        <is>
          <t>3-1/2" TUBING 9.2 LB/FT ALLOY 28 TSH BL</t>
        </is>
      </c>
      <c r="C427" s="1129" t="n">
        <v>31</v>
      </c>
    </row>
    <row r="428" ht="14.25" customHeight="1" s="862">
      <c r="A428" s="910" t="inlineStr">
        <is>
          <t>JT.#213</t>
        </is>
      </c>
      <c r="B428" s="910" t="inlineStr">
        <is>
          <t>3-1/2" TUBING 9.2 LB/FT ALLOY 28 TSH BL</t>
        </is>
      </c>
      <c r="C428" s="1129" t="n">
        <v>31</v>
      </c>
    </row>
    <row r="429" ht="14.25" customHeight="1" s="862">
      <c r="A429" s="910" t="inlineStr">
        <is>
          <t>JT.#214</t>
        </is>
      </c>
      <c r="B429" s="910" t="inlineStr">
        <is>
          <t>3-1/2" TUBING 9.2 LB/FT ALLOY 28 TSH BL</t>
        </is>
      </c>
      <c r="C429" s="1129" t="n">
        <v>31</v>
      </c>
    </row>
    <row r="430" ht="14.25" customHeight="1" s="862">
      <c r="A430" s="910" t="inlineStr">
        <is>
          <t>JT.#215</t>
        </is>
      </c>
      <c r="B430" s="910" t="inlineStr">
        <is>
          <t>3-1/2" TUBING 9.2 LB/FT ALLOY 28 TSH BL</t>
        </is>
      </c>
      <c r="C430" s="1129" t="n">
        <v>31</v>
      </c>
    </row>
    <row r="431" ht="14.25" customHeight="1" s="862">
      <c r="A431" s="910" t="inlineStr">
        <is>
          <t>JT.#216</t>
        </is>
      </c>
      <c r="B431" s="910" t="inlineStr">
        <is>
          <t>3-1/2" TUBING 9.2 LB/FT ALLOY 28 TSH BL</t>
        </is>
      </c>
      <c r="C431" s="1129" t="n">
        <v>31</v>
      </c>
    </row>
    <row r="432" ht="14.25" customHeight="1" s="862">
      <c r="A432" s="910" t="inlineStr">
        <is>
          <t>JT.#217</t>
        </is>
      </c>
      <c r="B432" s="910" t="inlineStr">
        <is>
          <t>3-1/2" TUBING 9.2 LB/FT ALLOY 28 TSH BL</t>
        </is>
      </c>
      <c r="C432" s="1129" t="n">
        <v>31</v>
      </c>
    </row>
    <row r="433" ht="14.25" customHeight="1" s="862">
      <c r="A433" s="910" t="inlineStr">
        <is>
          <t>JT.#218</t>
        </is>
      </c>
      <c r="B433" s="910" t="inlineStr">
        <is>
          <t>3-1/2" TUBING 9.2 LB/FT ALLOY 28 TSH BL</t>
        </is>
      </c>
      <c r="C433" s="1129" t="n">
        <v>31</v>
      </c>
    </row>
    <row r="434" ht="14.25" customHeight="1" s="862">
      <c r="A434" s="910" t="inlineStr">
        <is>
          <t>JT.#219</t>
        </is>
      </c>
      <c r="B434" s="910" t="inlineStr">
        <is>
          <t>3-1/2" TUBING 9.2 LB/FT ALLOY 28 TSH BL</t>
        </is>
      </c>
      <c r="C434" s="1129" t="n">
        <v>31</v>
      </c>
    </row>
    <row r="435" ht="14.25" customHeight="1" s="862">
      <c r="A435" s="910" t="inlineStr">
        <is>
          <t>JT.#220</t>
        </is>
      </c>
      <c r="B435" s="910" t="inlineStr">
        <is>
          <t>3-1/2" TUBING 9.2 LB/FT ALLOY 28 TSH BL</t>
        </is>
      </c>
      <c r="C435" s="1129" t="n">
        <v>31</v>
      </c>
    </row>
    <row r="436" ht="14.25" customHeight="1" s="862">
      <c r="A436" s="910" t="inlineStr">
        <is>
          <t>JT.#221</t>
        </is>
      </c>
      <c r="B436" s="910" t="inlineStr">
        <is>
          <t>3-1/2" TUBING 9.2 LB/FT ALLOY 28 TSH BL</t>
        </is>
      </c>
      <c r="C436" s="1129" t="n">
        <v>31</v>
      </c>
    </row>
    <row r="437" ht="14.25" customHeight="1" s="862">
      <c r="A437" s="910" t="inlineStr">
        <is>
          <t>JT.#222</t>
        </is>
      </c>
      <c r="B437" s="910" t="inlineStr">
        <is>
          <t>3-1/2" TUBING 9.2 LB/FT ALLOY 28 TSH BL</t>
        </is>
      </c>
      <c r="C437" s="1129" t="n">
        <v>31</v>
      </c>
    </row>
    <row r="438" ht="14.25" customHeight="1" s="862">
      <c r="A438" s="910" t="inlineStr">
        <is>
          <t>JT.#223</t>
        </is>
      </c>
      <c r="B438" s="910" t="inlineStr">
        <is>
          <t>3-1/2" TUBING 9.2 LB/FT ALLOY 28 TSH BL</t>
        </is>
      </c>
      <c r="C438" s="1129" t="n">
        <v>31</v>
      </c>
    </row>
    <row r="439" ht="14.25" customHeight="1" s="862">
      <c r="A439" s="910" t="inlineStr">
        <is>
          <t>JT.#224</t>
        </is>
      </c>
      <c r="B439" s="910" t="inlineStr">
        <is>
          <t>3-1/2" TUBING 9.2 LB/FT ALLOY 28 TSH BL</t>
        </is>
      </c>
      <c r="C439" s="1129" t="n">
        <v>31</v>
      </c>
    </row>
    <row r="440" ht="14.25" customHeight="1" s="862">
      <c r="A440" s="910" t="inlineStr">
        <is>
          <t>JT.#225</t>
        </is>
      </c>
      <c r="B440" s="910" t="inlineStr">
        <is>
          <t>3-1/2" TUBING 9.2 LB/FT ALLOY 28 TSH BL</t>
        </is>
      </c>
      <c r="C440" s="1129" t="n">
        <v>31</v>
      </c>
    </row>
    <row r="441" ht="14.25" customHeight="1" s="862">
      <c r="A441" s="910" t="inlineStr">
        <is>
          <t>JT.#226</t>
        </is>
      </c>
      <c r="B441" s="910" t="inlineStr">
        <is>
          <t>3-1/2" TUBING 9.2 LB/FT ALLOY 28 TSH BL</t>
        </is>
      </c>
      <c r="C441" s="1129" t="n">
        <v>31</v>
      </c>
    </row>
    <row r="442" ht="14.25" customHeight="1" s="862">
      <c r="A442" s="910" t="inlineStr">
        <is>
          <t>JT.#227</t>
        </is>
      </c>
      <c r="B442" s="910" t="inlineStr">
        <is>
          <t>3-1/2" TUBING 9.2 LB/FT ALLOY 28 TSH BL</t>
        </is>
      </c>
      <c r="C442" s="1129" t="n">
        <v>31</v>
      </c>
    </row>
    <row r="443" ht="14.25" customHeight="1" s="862">
      <c r="A443" s="910" t="inlineStr">
        <is>
          <t>JT.#228</t>
        </is>
      </c>
      <c r="B443" s="910" t="inlineStr">
        <is>
          <t>3-1/2" TUBING 9.2 LB/FT ALLOY 28 TSH BL</t>
        </is>
      </c>
      <c r="C443" s="1129" t="n">
        <v>31</v>
      </c>
    </row>
    <row r="444" ht="14.25" customHeight="1" s="862">
      <c r="A444" s="910" t="inlineStr">
        <is>
          <t>JT.#229</t>
        </is>
      </c>
      <c r="B444" s="910" t="inlineStr">
        <is>
          <t>3-1/2" TUBING 9.2 LB/FT ALLOY 28 TSH BL</t>
        </is>
      </c>
      <c r="C444" s="1129" t="n">
        <v>31</v>
      </c>
    </row>
    <row r="445" ht="14.25" customHeight="1" s="862">
      <c r="A445" s="910" t="inlineStr">
        <is>
          <t>JT.#230</t>
        </is>
      </c>
      <c r="B445" s="910" t="inlineStr">
        <is>
          <t>3-1/2" TUBING 9.2 LB/FT ALLOY 28 TSH BL</t>
        </is>
      </c>
      <c r="C445" s="1129" t="n">
        <v>31</v>
      </c>
    </row>
    <row r="446" ht="14.25" customHeight="1" s="862">
      <c r="A446" s="910" t="inlineStr">
        <is>
          <t>JT.#231</t>
        </is>
      </c>
      <c r="B446" s="910" t="inlineStr">
        <is>
          <t>3-1/2" TUBING 9.2 LB/FT ALLOY 28 TSH BL</t>
        </is>
      </c>
      <c r="C446" s="1129" t="n">
        <v>31</v>
      </c>
    </row>
    <row r="447" ht="14.25" customHeight="1" s="862">
      <c r="A447" s="910" t="inlineStr">
        <is>
          <t>JT.#232</t>
        </is>
      </c>
      <c r="B447" s="910" t="inlineStr">
        <is>
          <t>3-1/2" TUBING 9.2 LB/FT ALLOY 28 TSH BL</t>
        </is>
      </c>
      <c r="C447" s="1129" t="n">
        <v>31</v>
      </c>
    </row>
    <row r="448" ht="14.25" customHeight="1" s="862">
      <c r="A448" s="910" t="inlineStr">
        <is>
          <t>JT.#233</t>
        </is>
      </c>
      <c r="B448" s="910" t="inlineStr">
        <is>
          <t>3-1/2" TUBING 9.2 LB/FT ALLOY 28 TSH BL</t>
        </is>
      </c>
      <c r="C448" s="1129" t="n">
        <v>31</v>
      </c>
    </row>
    <row r="449" ht="14.25" customHeight="1" s="862">
      <c r="A449" s="910" t="inlineStr">
        <is>
          <t>JT.#234</t>
        </is>
      </c>
      <c r="B449" s="910" t="inlineStr">
        <is>
          <t>3-1/2" TUBING 9.2 LB/FT ALLOY 28 TSH BL</t>
        </is>
      </c>
      <c r="C449" s="1129" t="n">
        <v>31</v>
      </c>
    </row>
    <row r="450" ht="14.25" customHeight="1" s="862">
      <c r="A450" s="910" t="inlineStr">
        <is>
          <t>JT.#235</t>
        </is>
      </c>
      <c r="B450" s="910" t="inlineStr">
        <is>
          <t>3-1/2" TUBING 9.2 LB/FT ALLOY 28 TSH BL</t>
        </is>
      </c>
      <c r="C450" s="1129" t="n">
        <v>31</v>
      </c>
    </row>
    <row r="451" ht="75.75" customHeight="1" s="862">
      <c r="A451" s="1777" t="inlineStr">
        <is>
          <t>D3</t>
        </is>
      </c>
      <c r="B451" s="1778" t="inlineStr">
        <is>
          <t>UPPER CONN. 3-1/2" VAM TOP BOX 9.2 PPF SN 28 110 KSI
DESCRIPTION: 5 FEET XOVER
SAP: 130005011340
SUPPLIER: TENARIS
LOWER CONN. 3-1/2" TSH BLUE PIN 9.2 PPF SN 28 110 KSI</t>
        </is>
      </c>
      <c r="C451" s="1779" t="n">
        <v>5.19</v>
      </c>
      <c r="D451" s="1780" t="n">
        <v>3.908</v>
      </c>
      <c r="E451" s="1780" t="n">
        <v>2.959</v>
      </c>
      <c r="F451" s="1781" t="inlineStr">
        <is>
          <t>N/A</t>
        </is>
      </c>
      <c r="G451" s="1781" t="inlineStr">
        <is>
          <t>N/A</t>
        </is>
      </c>
      <c r="H451" s="1781" t="inlineStr">
        <is>
          <t>130005011340</t>
        </is>
      </c>
      <c r="I451" s="1781" t="inlineStr">
        <is>
          <t>N/A</t>
        </is>
      </c>
    </row>
    <row r="452" ht="75.75" customHeight="1" s="862">
      <c r="B452" s="1778" t="inlineStr">
        <is>
          <t>UPPER CONN. 3-1/2" SENTINEL PRIME BOX 9.2 PPF TX28-110 KSI
DESCRIPTION: 5 FEET XOVER
SAP: 130013006385
SUPPLIER: TBX
LOWER CONN. 3-1/2" VAM TOP PIN 9.2 PPF TX28-110 KSI</t>
        </is>
      </c>
      <c r="C452" s="1779" t="n">
        <v>4.96</v>
      </c>
      <c r="D452" s="1780" t="n">
        <v>3.929</v>
      </c>
      <c r="E452" s="1780" t="n">
        <v>2.921</v>
      </c>
      <c r="F452" s="1781" t="inlineStr">
        <is>
          <t>N/A</t>
        </is>
      </c>
      <c r="G452" s="1781" t="inlineStr">
        <is>
          <t>N/A</t>
        </is>
      </c>
      <c r="H452" s="1781" t="inlineStr">
        <is>
          <t>130013006385</t>
        </is>
      </c>
      <c r="I452" s="1781" t="inlineStr">
        <is>
          <t>N/A</t>
        </is>
      </c>
    </row>
    <row r="453" ht="135.75" customHeight="1" s="862">
      <c r="B453" s="1778"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779" t="n">
        <v>8.69</v>
      </c>
      <c r="D453" s="1780" t="n">
        <v>5.82</v>
      </c>
      <c r="E453" s="1780" t="n">
        <v>2.9</v>
      </c>
      <c r="F453" s="1781" t="inlineStr">
        <is>
          <t>3205577</t>
        </is>
      </c>
      <c r="G453" s="1781" t="inlineStr">
        <is>
          <t>12600735-08</t>
        </is>
      </c>
      <c r="H453" s="1781" t="inlineStr">
        <is>
          <t>130010036652</t>
        </is>
      </c>
      <c r="I453" s="1781" t="inlineStr">
        <is>
          <t>N/A</t>
        </is>
      </c>
    </row>
    <row r="454" ht="75.75" customHeight="1" s="862">
      <c r="B454" s="1778" t="inlineStr">
        <is>
          <t>UPPER CONN. 3-1/2" VAM TOP BOX 9.2 PPF TX28- 110 KSI
DESCRIPTION: 5 FEET XOVER
SAP: 130013006383
SUPPLIER: TBX
LOWER CONN -3-1/2" SENTINEL PRIME PIN 9.2 PPF TX28-110 KSI</t>
        </is>
      </c>
      <c r="C454" s="1779" t="n">
        <v>4.88</v>
      </c>
      <c r="D454" s="1780" t="n">
        <v>3.908</v>
      </c>
      <c r="E454" s="1780" t="n">
        <v>2.959</v>
      </c>
      <c r="F454" s="1781" t="inlineStr">
        <is>
          <t>N/A</t>
        </is>
      </c>
      <c r="G454" s="1781" t="inlineStr">
        <is>
          <t>N/A</t>
        </is>
      </c>
      <c r="H454" s="1781" t="inlineStr">
        <is>
          <t>130013006383</t>
        </is>
      </c>
      <c r="I454" s="1781" t="inlineStr">
        <is>
          <t>N/A</t>
        </is>
      </c>
    </row>
    <row r="455" ht="75.75" customHeight="1" s="862">
      <c r="B455" s="1778" t="inlineStr">
        <is>
          <t>UPPER CONN. 3-1/2" TSH BLUE BOX 9.2 PPF SN 28 110 KSI
DESCRIPTION: 10 FEET XOVER
SAP: 130005012487
SUPPLIER: TENARIS
LOWER CONN. 3-1/2" VAM TOP PIN 9.2 PPF SN 28 110 KSI</t>
        </is>
      </c>
      <c r="C455" s="1779" t="n">
        <v>9.93</v>
      </c>
      <c r="D455" s="1780" t="n">
        <v>3.937</v>
      </c>
      <c r="E455" s="1780" t="n">
        <v>2.969</v>
      </c>
      <c r="F455" s="1781" t="inlineStr">
        <is>
          <t>N/A</t>
        </is>
      </c>
      <c r="G455" s="1781" t="inlineStr">
        <is>
          <t>N/A</t>
        </is>
      </c>
      <c r="H455" s="1781" t="inlineStr">
        <is>
          <t>130005012487</t>
        </is>
      </c>
      <c r="I455" s="1781" t="inlineStr">
        <is>
          <t>N/A</t>
        </is>
      </c>
    </row>
    <row r="456" ht="14.25" customHeight="1" s="862">
      <c r="A456" s="910" t="inlineStr">
        <is>
          <t>JT.#236</t>
        </is>
      </c>
      <c r="B456" s="910" t="inlineStr">
        <is>
          <t>3-1/2" TUBING 9.2 LB/FT ALLOY 28 TSH BL</t>
        </is>
      </c>
      <c r="C456" s="1129" t="n">
        <v>31</v>
      </c>
    </row>
    <row r="457" ht="14.25" customHeight="1" s="862">
      <c r="A457" s="910" t="inlineStr">
        <is>
          <t>JT.#237</t>
        </is>
      </c>
      <c r="B457" s="910" t="inlineStr">
        <is>
          <t>3-1/2" TUBING 9.2 LB/FT ALLOY 28 TSH BL</t>
        </is>
      </c>
      <c r="C457" s="1129" t="n">
        <v>31</v>
      </c>
    </row>
    <row r="458" ht="14.25" customHeight="1" s="862">
      <c r="A458" s="910" t="inlineStr">
        <is>
          <t>JT.#238</t>
        </is>
      </c>
      <c r="B458" s="910" t="inlineStr">
        <is>
          <t>3-1/2" TUBING 9.2 LB/FT ALLOY 28 TSH BL</t>
        </is>
      </c>
      <c r="C458" s="1129" t="n">
        <v>31</v>
      </c>
    </row>
    <row r="459" ht="14.25" customHeight="1" s="862">
      <c r="A459" s="910" t="inlineStr">
        <is>
          <t>JT.#239</t>
        </is>
      </c>
      <c r="B459" s="910" t="inlineStr">
        <is>
          <t>3-1/2" TUBING 9.2 LB/FT ALLOY 28 TSH BL</t>
        </is>
      </c>
      <c r="C459" s="1129" t="n">
        <v>31</v>
      </c>
    </row>
    <row r="460" ht="14.25" customHeight="1" s="862">
      <c r="A460" s="910" t="inlineStr">
        <is>
          <t>JT.#240</t>
        </is>
      </c>
      <c r="B460" s="910" t="inlineStr">
        <is>
          <t>3-1/2" TUBING 9.2 LB/FT ALLOY 28 TSH BL</t>
        </is>
      </c>
      <c r="C460" s="1129" t="n">
        <v>31</v>
      </c>
    </row>
    <row r="461" ht="14.25" customHeight="1" s="862">
      <c r="A461" s="910" t="inlineStr">
        <is>
          <t>JT.#241</t>
        </is>
      </c>
      <c r="B461" s="910" t="inlineStr">
        <is>
          <t>3-1/2" TUBING 9.2 LB/FT ALLOY 28 TSH BL</t>
        </is>
      </c>
      <c r="C461" s="1129" t="n">
        <v>31</v>
      </c>
    </row>
    <row r="462" ht="14.25" customHeight="1" s="862">
      <c r="A462" s="910" t="inlineStr">
        <is>
          <t>JT.#242</t>
        </is>
      </c>
      <c r="B462" s="910" t="inlineStr">
        <is>
          <t>3-1/2" TUBING 9.2 LB/FT ALLOY 28 TSH BL</t>
        </is>
      </c>
      <c r="C462" s="1129" t="n">
        <v>31</v>
      </c>
    </row>
    <row r="463" ht="14.25" customHeight="1" s="862">
      <c r="A463" s="910" t="inlineStr">
        <is>
          <t>JT.#243</t>
        </is>
      </c>
      <c r="B463" s="910" t="inlineStr">
        <is>
          <t>3-1/2" TUBING 9.2 LB/FT ALLOY 28 TSH BL</t>
        </is>
      </c>
      <c r="C463" s="1129" t="n">
        <v>31</v>
      </c>
    </row>
    <row r="464" ht="14.25" customHeight="1" s="862">
      <c r="A464" s="910" t="inlineStr">
        <is>
          <t>JT.#244</t>
        </is>
      </c>
      <c r="B464" s="910" t="inlineStr">
        <is>
          <t>3-1/2" TUBING 9.2 LB/FT ALLOY 28 TSH BL</t>
        </is>
      </c>
      <c r="C464" s="1129" t="n">
        <v>31</v>
      </c>
    </row>
    <row r="465" ht="14.25" customHeight="1" s="862">
      <c r="A465" s="910" t="inlineStr">
        <is>
          <t>JT.#245</t>
        </is>
      </c>
      <c r="B465" s="910" t="inlineStr">
        <is>
          <t>3-1/2" TUBING 9.2 LB/FT ALLOY 28 TSH BL</t>
        </is>
      </c>
      <c r="C465" s="1129" t="n">
        <v>31</v>
      </c>
    </row>
    <row r="466" ht="14.25" customHeight="1" s="862">
      <c r="A466" s="910" t="inlineStr">
        <is>
          <t>JT.#246</t>
        </is>
      </c>
      <c r="B466" s="910" t="inlineStr">
        <is>
          <t>3-1/2" TUBING 9.2 LB/FT ALLOY 28 TSH BL</t>
        </is>
      </c>
      <c r="C466" s="1129" t="n">
        <v>31</v>
      </c>
    </row>
    <row r="467" ht="14.25" customHeight="1" s="862">
      <c r="A467" s="910" t="inlineStr">
        <is>
          <t>JT.#247</t>
        </is>
      </c>
      <c r="B467" s="910" t="inlineStr">
        <is>
          <t>3-1/2" TUBING 9.2 LB/FT ALLOY 28 TSH BL</t>
        </is>
      </c>
      <c r="C467" s="1129" t="n">
        <v>31</v>
      </c>
    </row>
    <row r="468" ht="14.25" customHeight="1" s="862">
      <c r="A468" s="910" t="inlineStr">
        <is>
          <t>JT.#248</t>
        </is>
      </c>
      <c r="B468" s="910" t="inlineStr">
        <is>
          <t>3-1/2" TUBING 9.2 LB/FT ALLOY 28 TSH BL</t>
        </is>
      </c>
      <c r="C468" s="1129" t="n">
        <v>31</v>
      </c>
    </row>
    <row r="469" ht="14.25" customHeight="1" s="862">
      <c r="A469" s="910" t="inlineStr">
        <is>
          <t>JT.#249</t>
        </is>
      </c>
      <c r="B469" s="910" t="inlineStr">
        <is>
          <t>3-1/2" TUBING 9.2 LB/FT ALLOY 28 TSH BL</t>
        </is>
      </c>
      <c r="C469" s="1129" t="n">
        <v>31</v>
      </c>
    </row>
    <row r="470" ht="14.25" customHeight="1" s="862">
      <c r="A470" s="910" t="inlineStr">
        <is>
          <t>JT.#250</t>
        </is>
      </c>
      <c r="B470" s="910" t="inlineStr">
        <is>
          <t>3-1/2" TUBING 9.2 LB/FT ALLOY 28 TSH BL</t>
        </is>
      </c>
      <c r="C470" s="1129" t="n">
        <v>31</v>
      </c>
    </row>
    <row r="471" ht="14.25" customHeight="1" s="862">
      <c r="A471" s="910" t="inlineStr">
        <is>
          <t>JT.#251</t>
        </is>
      </c>
      <c r="B471" s="910" t="inlineStr">
        <is>
          <t>3-1/2" TUBING 9.2 LB/FT ALLOY 28 TSH BL</t>
        </is>
      </c>
      <c r="C471" s="1129" t="n">
        <v>31</v>
      </c>
    </row>
    <row r="472" ht="14.25" customHeight="1" s="862">
      <c r="A472" s="910" t="inlineStr">
        <is>
          <t>JT.#252</t>
        </is>
      </c>
      <c r="B472" s="910" t="inlineStr">
        <is>
          <t>3-1/2" TUBING 9.2 LB/FT ALLOY 28 TSH BL</t>
        </is>
      </c>
      <c r="C472" s="1129" t="n">
        <v>31</v>
      </c>
    </row>
    <row r="473" ht="14.25" customHeight="1" s="862">
      <c r="A473" s="910" t="inlineStr">
        <is>
          <t>JT.#253</t>
        </is>
      </c>
      <c r="B473" s="910" t="inlineStr">
        <is>
          <t>3-1/2" TUBING 9.2 LB/FT ALLOY 28 TSH BL</t>
        </is>
      </c>
      <c r="C473" s="1129" t="n">
        <v>31</v>
      </c>
    </row>
    <row r="474" ht="14.25" customHeight="1" s="862">
      <c r="A474" s="910" t="inlineStr">
        <is>
          <t>JT.#254</t>
        </is>
      </c>
      <c r="B474" s="910" t="inlineStr">
        <is>
          <t>3-1/2" TUBING 9.2 LB/FT ALLOY 28 TSH BL</t>
        </is>
      </c>
      <c r="C474" s="1129" t="n">
        <v>31</v>
      </c>
    </row>
    <row r="475" ht="14.25" customHeight="1" s="862">
      <c r="A475" s="910" t="inlineStr">
        <is>
          <t>JT.#255</t>
        </is>
      </c>
      <c r="B475" s="910" t="inlineStr">
        <is>
          <t>3-1/2" TUBING 9.2 LB/FT ALLOY 28 TSH BL</t>
        </is>
      </c>
      <c r="C475" s="1129" t="n">
        <v>31</v>
      </c>
    </row>
    <row r="476" ht="14.25" customHeight="1" s="862">
      <c r="A476" s="910" t="inlineStr">
        <is>
          <t>JT.#256</t>
        </is>
      </c>
      <c r="B476" s="910" t="inlineStr">
        <is>
          <t>3-1/2" TUBING 9.2 LB/FT ALLOY 28 TSH BL</t>
        </is>
      </c>
      <c r="C476" s="1129" t="n">
        <v>31</v>
      </c>
    </row>
    <row r="477" ht="14.25" customHeight="1" s="862">
      <c r="A477" s="910" t="inlineStr">
        <is>
          <t>JT.#257</t>
        </is>
      </c>
      <c r="B477" s="910" t="inlineStr">
        <is>
          <t>3-1/2" TUBING 9.2 LB/FT ALLOY 28 TSH BL</t>
        </is>
      </c>
      <c r="C477" s="1129" t="n">
        <v>31</v>
      </c>
    </row>
    <row r="478" ht="14.25" customHeight="1" s="862">
      <c r="A478" s="910" t="inlineStr">
        <is>
          <t>JT.#258</t>
        </is>
      </c>
      <c r="B478" s="910" t="inlineStr">
        <is>
          <t>3-1/2" TUBING 9.2 LB/FT ALLOY 28 TSH BL</t>
        </is>
      </c>
      <c r="C478" s="1129" t="n">
        <v>31</v>
      </c>
    </row>
    <row r="479" ht="14.25" customHeight="1" s="862">
      <c r="A479" s="910" t="inlineStr">
        <is>
          <t>JT.#259</t>
        </is>
      </c>
      <c r="B479" s="910" t="inlineStr">
        <is>
          <t>3-1/2" TUBING 9.2 LB/FT ALLOY 28 TSH BL</t>
        </is>
      </c>
      <c r="C479" s="1129" t="n">
        <v>31</v>
      </c>
    </row>
    <row r="480" ht="14.25" customHeight="1" s="862">
      <c r="A480" s="910" t="inlineStr">
        <is>
          <t>JT.#260</t>
        </is>
      </c>
      <c r="B480" s="910" t="inlineStr">
        <is>
          <t>3-1/2" TUBING 9.2 LB/FT ALLOY 28 TSH BL</t>
        </is>
      </c>
      <c r="C480" s="1129" t="n">
        <v>31</v>
      </c>
    </row>
    <row r="481" ht="14.25" customHeight="1" s="862">
      <c r="A481" s="910" t="inlineStr">
        <is>
          <t>JT.#261</t>
        </is>
      </c>
      <c r="B481" s="910" t="inlineStr">
        <is>
          <t>3-1/2" TUBING 9.2 LB/FT ALLOY 28 TSH BL</t>
        </is>
      </c>
      <c r="C481" s="1129" t="n">
        <v>31</v>
      </c>
    </row>
    <row r="482" ht="14.25" customHeight="1" s="862">
      <c r="A482" s="910" t="inlineStr">
        <is>
          <t>JT.#262</t>
        </is>
      </c>
      <c r="B482" s="910" t="inlineStr">
        <is>
          <t>3-1/2" TUBING 9.2 LB/FT ALLOY 28 TSH BL</t>
        </is>
      </c>
      <c r="C482" s="1129" t="n">
        <v>31</v>
      </c>
    </row>
    <row r="483" ht="14.25" customHeight="1" s="862">
      <c r="A483" s="910" t="inlineStr">
        <is>
          <t>JT.#263</t>
        </is>
      </c>
      <c r="B483" s="910" t="inlineStr">
        <is>
          <t>3-1/2" TUBING 9.2 LB/FT ALLOY 28 TSH BL</t>
        </is>
      </c>
      <c r="C483" s="1129" t="n">
        <v>31</v>
      </c>
    </row>
    <row r="484" ht="14.25" customHeight="1" s="862">
      <c r="A484" s="910" t="inlineStr">
        <is>
          <t>JT.#264</t>
        </is>
      </c>
      <c r="B484" s="910" t="inlineStr">
        <is>
          <t>3-1/2" TUBING 9.2 LB/FT ALLOY 28 TSH BL</t>
        </is>
      </c>
      <c r="C484" s="1129" t="n">
        <v>31</v>
      </c>
    </row>
    <row r="485" ht="14.25" customHeight="1" s="862">
      <c r="A485" s="910" t="inlineStr">
        <is>
          <t>JT.#265</t>
        </is>
      </c>
      <c r="B485" s="910" t="inlineStr">
        <is>
          <t>3-1/2" TUBING 9.2 LB/FT ALLOY 28 TSH BL</t>
        </is>
      </c>
      <c r="C485" s="1129" t="n">
        <v>31</v>
      </c>
    </row>
    <row r="486" ht="14.25" customHeight="1" s="862">
      <c r="A486" s="910" t="inlineStr">
        <is>
          <t>JT.#266</t>
        </is>
      </c>
      <c r="B486" s="910" t="inlineStr">
        <is>
          <t>3-1/2" TUBING 9.2 LB/FT ALLOY 28 TSH BL</t>
        </is>
      </c>
      <c r="C486" s="1129" t="n">
        <v>31</v>
      </c>
    </row>
    <row r="487" ht="14.25" customHeight="1" s="862">
      <c r="A487" s="910" t="inlineStr">
        <is>
          <t>JT.#267</t>
        </is>
      </c>
      <c r="B487" s="910" t="inlineStr">
        <is>
          <t>3-1/2" TUBING 9.2 LB/FT ALLOY 28 TSH BL</t>
        </is>
      </c>
      <c r="C487" s="1129" t="n">
        <v>31</v>
      </c>
    </row>
    <row r="488" ht="14.25" customHeight="1" s="862">
      <c r="A488" s="910" t="inlineStr">
        <is>
          <t>JT.#268</t>
        </is>
      </c>
      <c r="B488" s="910" t="inlineStr">
        <is>
          <t>3-1/2" TUBING 9.2 LB/FT ALLOY 28 TSH BL</t>
        </is>
      </c>
      <c r="C488" s="1129" t="n">
        <v>31</v>
      </c>
    </row>
    <row r="489" ht="14.25" customHeight="1" s="862">
      <c r="A489" s="910" t="inlineStr">
        <is>
          <t>JT.#269</t>
        </is>
      </c>
      <c r="B489" s="910" t="inlineStr">
        <is>
          <t>3-1/2" TUBING 9.2 LB/FT ALLOY 28 TSH BL</t>
        </is>
      </c>
      <c r="C489" s="1129" t="n">
        <v>31</v>
      </c>
    </row>
    <row r="490" ht="14.25" customHeight="1" s="862">
      <c r="A490" s="910" t="inlineStr">
        <is>
          <t>JT.#270</t>
        </is>
      </c>
      <c r="B490" s="910" t="inlineStr">
        <is>
          <t>3-1/2" TUBING 9.2 LB/FT ALLOY 28 TSH BL</t>
        </is>
      </c>
      <c r="C490" s="1129" t="n">
        <v>31</v>
      </c>
    </row>
    <row r="491" ht="14.25" customHeight="1" s="862">
      <c r="A491" s="910" t="inlineStr">
        <is>
          <t>JT.#271</t>
        </is>
      </c>
      <c r="B491" s="910" t="inlineStr">
        <is>
          <t>3-1/2" TUBING 9.2 LB/FT ALLOY 28 TSH BL</t>
        </is>
      </c>
      <c r="C491" s="1129" t="n">
        <v>31</v>
      </c>
    </row>
    <row r="492" ht="14.25" customHeight="1" s="862">
      <c r="A492" s="910" t="inlineStr">
        <is>
          <t>JT.#272</t>
        </is>
      </c>
      <c r="B492" s="910" t="inlineStr">
        <is>
          <t>3-1/2" TUBING 9.2 LB/FT ALLOY 28 TSH BL</t>
        </is>
      </c>
      <c r="C492" s="1129" t="n">
        <v>31</v>
      </c>
    </row>
    <row r="493" ht="14.25" customHeight="1" s="862">
      <c r="A493" s="910" t="inlineStr">
        <is>
          <t>JT.#273</t>
        </is>
      </c>
      <c r="B493" s="910" t="inlineStr">
        <is>
          <t>3-1/2" TUBING 9.2 LB/FT ALLOY 28 TSH BL</t>
        </is>
      </c>
      <c r="C493" s="1129" t="n">
        <v>31</v>
      </c>
    </row>
    <row r="494" ht="14.25" customHeight="1" s="862">
      <c r="A494" s="910" t="inlineStr">
        <is>
          <t>JT.#274</t>
        </is>
      </c>
      <c r="B494" s="910" t="inlineStr">
        <is>
          <t>3-1/2" TUBING 9.2 LB/FT ALLOY 28 TSH BL</t>
        </is>
      </c>
      <c r="C494" s="1129" t="n">
        <v>31</v>
      </c>
    </row>
    <row r="495" ht="14.25" customHeight="1" s="862">
      <c r="A495" s="910" t="inlineStr">
        <is>
          <t>JT.#275</t>
        </is>
      </c>
      <c r="B495" s="910" t="inlineStr">
        <is>
          <t>3-1/2" TUBING 9.2 LB/FT ALLOY 28 TSH BL</t>
        </is>
      </c>
      <c r="C495" s="1129" t="n">
        <v>31</v>
      </c>
    </row>
    <row r="496" ht="14.25" customHeight="1" s="862">
      <c r="A496" s="910" t="inlineStr">
        <is>
          <t>JT.#276</t>
        </is>
      </c>
      <c r="B496" s="910" t="inlineStr">
        <is>
          <t>3-1/2" TUBING 9.2 LB/FT ALLOY 28 TSH BL</t>
        </is>
      </c>
      <c r="C496" s="1129" t="n">
        <v>31</v>
      </c>
    </row>
    <row r="497" ht="14.25" customHeight="1" s="862">
      <c r="A497" s="910" t="inlineStr">
        <is>
          <t>JT.#277</t>
        </is>
      </c>
      <c r="B497" s="910" t="inlineStr">
        <is>
          <t>3-1/2" TUBING 9.2 LB/FT ALLOY 28 TSH BL</t>
        </is>
      </c>
      <c r="C497" s="1129" t="n">
        <v>31</v>
      </c>
    </row>
    <row r="498" ht="14.25" customHeight="1" s="862">
      <c r="A498" s="910" t="inlineStr">
        <is>
          <t>JT.#278</t>
        </is>
      </c>
      <c r="B498" s="910" t="inlineStr">
        <is>
          <t>3-1/2" TUBING 9.2 LB/FT ALLOY 28 TSH BL</t>
        </is>
      </c>
      <c r="C498" s="1129" t="n">
        <v>31</v>
      </c>
    </row>
    <row r="499" ht="14.25" customHeight="1" s="862">
      <c r="A499" s="910" t="inlineStr">
        <is>
          <t>JT.#279</t>
        </is>
      </c>
      <c r="B499" s="910" t="inlineStr">
        <is>
          <t>3-1/2" TUBING 9.2 LB/FT ALLOY 28 TSH BL</t>
        </is>
      </c>
      <c r="C499" s="1129" t="n">
        <v>31</v>
      </c>
    </row>
    <row r="500" ht="14.25" customHeight="1" s="862">
      <c r="A500" s="910" t="inlineStr">
        <is>
          <t>JT.#280</t>
        </is>
      </c>
      <c r="B500" s="910" t="inlineStr">
        <is>
          <t>3-1/2" TUBING 9.2 LB/FT ALLOY 28 TSH BL</t>
        </is>
      </c>
      <c r="C500" s="1129" t="n">
        <v>31</v>
      </c>
    </row>
    <row r="501" ht="14.25" customHeight="1" s="862">
      <c r="A501" s="910" t="inlineStr">
        <is>
          <t>JT.#281</t>
        </is>
      </c>
      <c r="B501" s="910" t="inlineStr">
        <is>
          <t>3-1/2" TUBING 9.2 LB/FT ALLOY 28 TSH BL</t>
        </is>
      </c>
      <c r="C501" s="1129" t="n">
        <v>31</v>
      </c>
    </row>
    <row r="502" ht="14.25" customHeight="1" s="862">
      <c r="A502" s="910" t="inlineStr">
        <is>
          <t>JT.#282</t>
        </is>
      </c>
      <c r="B502" s="910" t="inlineStr">
        <is>
          <t>3-1/2" TUBING 9.2 LB/FT ALLOY 28 TSH BL</t>
        </is>
      </c>
      <c r="C502" s="1129" t="n">
        <v>31</v>
      </c>
    </row>
    <row r="503" ht="14.25" customHeight="1" s="862">
      <c r="A503" s="910" t="inlineStr">
        <is>
          <t>JT.#283</t>
        </is>
      </c>
      <c r="B503" s="910" t="inlineStr">
        <is>
          <t>3-1/2" TUBING 9.2 LB/FT ALLOY 28 TSH BL</t>
        </is>
      </c>
      <c r="C503" s="1129" t="n">
        <v>31</v>
      </c>
    </row>
    <row r="504" ht="14.25" customHeight="1" s="862">
      <c r="A504" s="910" t="inlineStr">
        <is>
          <t>JT.#284</t>
        </is>
      </c>
      <c r="B504" s="910" t="inlineStr">
        <is>
          <t>3-1/2" TUBING 9.2 LB/FT ALLOY 28 TSH BL</t>
        </is>
      </c>
      <c r="C504" s="1129" t="n">
        <v>31</v>
      </c>
    </row>
    <row r="505" ht="75.75" customHeight="1" s="862">
      <c r="A505" s="1782" t="inlineStr">
        <is>
          <t>D4</t>
        </is>
      </c>
      <c r="B505" s="1783" t="inlineStr">
        <is>
          <t>UPPER CONN. 3-1/2" VAM TOP BOX 9.2 PPF SN 28 110 KSI
DESCRIPTION: 5 FEET XOVER
SAP: 130005011340
SUPPLIER: TENARIS
LOWER CONN. 3-1/2" TSH BLUE PIN 9.2 PPF SN 28 110 KSI</t>
        </is>
      </c>
      <c r="C505" s="1784" t="n">
        <v>5.18</v>
      </c>
      <c r="D505" s="1785" t="n">
        <v>3.908</v>
      </c>
      <c r="E505" s="1785" t="n">
        <v>2.959</v>
      </c>
      <c r="F505" s="1786" t="inlineStr">
        <is>
          <t>N/A</t>
        </is>
      </c>
      <c r="G505" s="1786" t="inlineStr">
        <is>
          <t>N/A</t>
        </is>
      </c>
      <c r="H505" s="1786" t="inlineStr">
        <is>
          <t>130005011340</t>
        </is>
      </c>
      <c r="I505" s="1786" t="inlineStr">
        <is>
          <t>N/A</t>
        </is>
      </c>
    </row>
    <row r="506" ht="75.75" customHeight="1" s="862">
      <c r="B506" s="1783" t="inlineStr">
        <is>
          <t>UPPER CONN. 3-1/2" SENTINEL PRIME BOX 9.2 PPF TX28-110 KSI
DESCRIPTION: 5 FEET XOVER
SAP: 130013006385
SUPPLIER: TBX
LOWER CONN. 3-1/2" VAM TOP PIN 9.2 PPF TX28-110 KSI</t>
        </is>
      </c>
      <c r="C506" s="1784" t="n">
        <v>4.96</v>
      </c>
      <c r="D506" s="1785" t="n">
        <v>3.929</v>
      </c>
      <c r="E506" s="1785" t="n">
        <v>2.921</v>
      </c>
      <c r="F506" s="1786" t="inlineStr">
        <is>
          <t>N/A</t>
        </is>
      </c>
      <c r="G506" s="1786" t="inlineStr">
        <is>
          <t>N/A</t>
        </is>
      </c>
      <c r="H506" s="1786" t="inlineStr">
        <is>
          <t>130013006385</t>
        </is>
      </c>
      <c r="I506" s="1786" t="inlineStr">
        <is>
          <t>N/A</t>
        </is>
      </c>
    </row>
    <row r="507" ht="135.75" customHeight="1" s="862">
      <c r="B507" s="1783"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784" t="n">
        <v>8.69</v>
      </c>
      <c r="D507" s="1785" t="n">
        <v>5.82</v>
      </c>
      <c r="E507" s="1785" t="n">
        <v>2.9</v>
      </c>
      <c r="F507" s="1786" t="inlineStr">
        <is>
          <t>3205577</t>
        </is>
      </c>
      <c r="G507" s="1786" t="inlineStr">
        <is>
          <t>12696654-13</t>
        </is>
      </c>
      <c r="H507" s="1786" t="inlineStr">
        <is>
          <t>130010036652</t>
        </is>
      </c>
      <c r="I507" s="1786" t="inlineStr">
        <is>
          <t>N/A</t>
        </is>
      </c>
    </row>
    <row r="508" ht="75.75" customHeight="1" s="862">
      <c r="B508" s="1783" t="inlineStr">
        <is>
          <t>UPPER CONN. 3-1/2" VAM TOP BOX 9.2 PPF TX28- 110 KSI
DESCRIPTION: 10 FEET XOVER
SAP: 1130013006387
SUPPLIER: TBX
LOWER CONN-3-1/2" SENTINELPRIME PIN 9.2 PPF TX28110 KSI</t>
        </is>
      </c>
      <c r="C508" s="1784" t="n">
        <v>9.779999999999999</v>
      </c>
      <c r="D508" s="1785" t="n">
        <v>3.908</v>
      </c>
      <c r="E508" s="1785" t="n">
        <v>2.959</v>
      </c>
      <c r="F508" s="1786" t="inlineStr">
        <is>
          <t>N/A</t>
        </is>
      </c>
      <c r="G508" s="1786" t="inlineStr">
        <is>
          <t>N/A</t>
        </is>
      </c>
      <c r="H508" s="1786" t="inlineStr">
        <is>
          <t>1130013006387</t>
        </is>
      </c>
      <c r="I508" s="1786" t="inlineStr">
        <is>
          <t>N/A</t>
        </is>
      </c>
    </row>
    <row r="509" ht="75.75" customHeight="1" s="862">
      <c r="B509" s="1783" t="inlineStr">
        <is>
          <t>UPPER CONN. 3-1/2" TSH BLUE BOX 9.2 PPF SN 28 110 KSI
DESCRIPTION: 5 FEET XOVER
SAP: 130005011340
SUPPLIER: TENARIS
LOWER CONN. 3-1/2" VAM TOP PIN 9.2 PPF SN 28 110 KSI</t>
        </is>
      </c>
      <c r="C509" s="1784" t="n">
        <v>4.96</v>
      </c>
      <c r="D509" s="1785" t="n">
        <v>3.937</v>
      </c>
      <c r="E509" s="1785" t="n">
        <v>2.969</v>
      </c>
      <c r="F509" s="1786" t="inlineStr">
        <is>
          <t>N/A</t>
        </is>
      </c>
      <c r="G509" s="1786" t="inlineStr">
        <is>
          <t>N/A</t>
        </is>
      </c>
      <c r="H509" s="1786" t="inlineStr">
        <is>
          <t>130005011340</t>
        </is>
      </c>
      <c r="I509" s="1786" t="inlineStr">
        <is>
          <t>N/A</t>
        </is>
      </c>
    </row>
    <row r="510" ht="14.25" customHeight="1" s="862">
      <c r="A510" s="910" t="inlineStr">
        <is>
          <t>JT.#285</t>
        </is>
      </c>
      <c r="B510" s="910" t="inlineStr">
        <is>
          <t>3-1/2" TUBING 9.2 LB/FT ALLOY 28 TSH BL</t>
        </is>
      </c>
      <c r="C510" s="1129" t="n">
        <v>31</v>
      </c>
    </row>
    <row r="511" ht="14.25" customHeight="1" s="862">
      <c r="A511" s="910" t="inlineStr">
        <is>
          <t>JT.#286</t>
        </is>
      </c>
      <c r="B511" s="910" t="inlineStr">
        <is>
          <t>3-1/2" TUBING 9.2 LB/FT ALLOY 28 TSH BL</t>
        </is>
      </c>
      <c r="C511" s="1129" t="n">
        <v>31</v>
      </c>
    </row>
    <row r="512" ht="14.25" customHeight="1" s="862">
      <c r="A512" s="910" t="inlineStr">
        <is>
          <t>JT.#287</t>
        </is>
      </c>
      <c r="B512" s="910" t="inlineStr">
        <is>
          <t>3-1/2" TUBING 9.2 LB/FT ALLOY 28 TSH BL</t>
        </is>
      </c>
      <c r="C512" s="1129" t="n">
        <v>31</v>
      </c>
    </row>
    <row r="513" ht="14.25" customHeight="1" s="862">
      <c r="A513" s="910" t="inlineStr">
        <is>
          <t>JT.#288</t>
        </is>
      </c>
      <c r="B513" s="910" t="inlineStr">
        <is>
          <t>3-1/2" TUBING 9.2 LB/FT ALLOY 28 TSH BL</t>
        </is>
      </c>
      <c r="C513" s="1129" t="n">
        <v>31</v>
      </c>
    </row>
    <row r="514" ht="14.25" customHeight="1" s="862">
      <c r="A514" s="910" t="inlineStr">
        <is>
          <t>JT.#289</t>
        </is>
      </c>
      <c r="B514" s="910" t="inlineStr">
        <is>
          <t>3-1/2" TUBING 9.2 LB/FT ALLOY 28 TSH BL</t>
        </is>
      </c>
      <c r="C514" s="1129" t="n">
        <v>31</v>
      </c>
    </row>
    <row r="515" ht="14.25" customHeight="1" s="862">
      <c r="A515" s="910" t="inlineStr">
        <is>
          <t>JT.#290</t>
        </is>
      </c>
      <c r="B515" s="910" t="inlineStr">
        <is>
          <t>3-1/2" TUBING 9.2 LB/FT ALLOY 28 TSH BL</t>
        </is>
      </c>
      <c r="C515" s="1129" t="n">
        <v>31</v>
      </c>
    </row>
    <row r="516" ht="14.25" customHeight="1" s="862">
      <c r="A516" s="910" t="inlineStr">
        <is>
          <t>JT.#291</t>
        </is>
      </c>
      <c r="B516" s="910" t="inlineStr">
        <is>
          <t>3-1/2" TUBING 9.2 LB/FT ALLOY 28 TSH BL</t>
        </is>
      </c>
      <c r="C516" s="1129" t="n">
        <v>31</v>
      </c>
    </row>
    <row r="517" ht="14.25" customHeight="1" s="862">
      <c r="A517" s="910" t="inlineStr">
        <is>
          <t>JT.#292</t>
        </is>
      </c>
      <c r="B517" s="910" t="inlineStr">
        <is>
          <t>3-1/2" TUBING 9.2 LB/FT ALLOY 28 TSH BL</t>
        </is>
      </c>
      <c r="C517" s="1129" t="n">
        <v>31</v>
      </c>
    </row>
    <row r="518" ht="14.25" customHeight="1" s="862">
      <c r="A518" s="910" t="inlineStr">
        <is>
          <t>JT.#293</t>
        </is>
      </c>
      <c r="B518" s="910" t="inlineStr">
        <is>
          <t>3-1/2" TUBING 9.2 LB/FT ALLOY 28 TSH BL</t>
        </is>
      </c>
      <c r="C518" s="1129" t="n">
        <v>31</v>
      </c>
    </row>
    <row r="519" ht="14.25" customHeight="1" s="862">
      <c r="A519" s="910" t="inlineStr">
        <is>
          <t>JT.#294</t>
        </is>
      </c>
      <c r="B519" s="910" t="inlineStr">
        <is>
          <t>3-1/2" TUBING 9.2 LB/FT ALLOY 28 TSH BL</t>
        </is>
      </c>
      <c r="C519" s="1129" t="n">
        <v>31</v>
      </c>
    </row>
    <row r="520" ht="14.25" customHeight="1" s="862">
      <c r="A520" s="910" t="inlineStr">
        <is>
          <t>JT.#295</t>
        </is>
      </c>
      <c r="B520" s="910" t="inlineStr">
        <is>
          <t>3-1/2" TUBING 9.2 LB/FT ALLOY 28 TSH BL</t>
        </is>
      </c>
      <c r="C520" s="1129" t="n">
        <v>31</v>
      </c>
    </row>
    <row r="521" ht="14.25" customHeight="1" s="862">
      <c r="A521" s="910" t="inlineStr">
        <is>
          <t>JT.#296</t>
        </is>
      </c>
      <c r="B521" s="910" t="inlineStr">
        <is>
          <t>3-1/2" TUBING 9.2 LB/FT ALLOY 28 TSH BL</t>
        </is>
      </c>
      <c r="C521" s="1129" t="n">
        <v>31</v>
      </c>
    </row>
    <row r="522" ht="14.25" customHeight="1" s="862">
      <c r="A522" s="910" t="inlineStr">
        <is>
          <t>JT.#297</t>
        </is>
      </c>
      <c r="B522" s="910" t="inlineStr">
        <is>
          <t>3-1/2" TUBING 9.2 LB/FT ALLOY 28 TSH BL</t>
        </is>
      </c>
      <c r="C522" s="1129" t="n">
        <v>31</v>
      </c>
    </row>
    <row r="523" ht="14.25" customHeight="1" s="862">
      <c r="A523" s="910" t="inlineStr">
        <is>
          <t>JT.#298</t>
        </is>
      </c>
      <c r="B523" s="910" t="inlineStr">
        <is>
          <t>3-1/2" TUBING 9.2 LB/FT ALLOY 28 TSH BL</t>
        </is>
      </c>
      <c r="C523" s="1129" t="n">
        <v>31</v>
      </c>
    </row>
    <row r="524" ht="14.25" customHeight="1" s="862">
      <c r="A524" s="910" t="inlineStr">
        <is>
          <t>JT.#299</t>
        </is>
      </c>
      <c r="B524" s="910" t="inlineStr">
        <is>
          <t>3-1/2" TUBING 9.2 LB/FT ALLOY 28 TSH BL</t>
        </is>
      </c>
      <c r="C524" s="1129" t="n">
        <v>31</v>
      </c>
    </row>
    <row r="525" ht="14.25" customHeight="1" s="862">
      <c r="A525" s="910" t="inlineStr">
        <is>
          <t>JT.#300</t>
        </is>
      </c>
      <c r="B525" s="910" t="inlineStr">
        <is>
          <t>3-1/2" TUBING 9.2 LB/FT ALLOY 28 TSH BL</t>
        </is>
      </c>
      <c r="C525" s="1129" t="n">
        <v>31</v>
      </c>
    </row>
    <row r="526" ht="14.25" customHeight="1" s="862">
      <c r="A526" s="910" t="inlineStr">
        <is>
          <t>JT.#301</t>
        </is>
      </c>
      <c r="B526" s="910" t="inlineStr">
        <is>
          <t>3-1/2" TUBING 9.2 LB/FT ALLOY 28 TSH BL</t>
        </is>
      </c>
      <c r="C526" s="1129" t="n">
        <v>31</v>
      </c>
    </row>
    <row r="527" ht="14.25" customHeight="1" s="862">
      <c r="A527" s="910" t="inlineStr">
        <is>
          <t>JT.#302</t>
        </is>
      </c>
      <c r="B527" s="910" t="inlineStr">
        <is>
          <t>3-1/2" TUBING 9.2 LB/FT ALLOY 28 TSH BL</t>
        </is>
      </c>
      <c r="C527" s="1129" t="n">
        <v>31</v>
      </c>
    </row>
    <row r="528" ht="14.25" customHeight="1" s="862">
      <c r="A528" s="910" t="inlineStr">
        <is>
          <t>JT.#303</t>
        </is>
      </c>
      <c r="B528" s="910" t="inlineStr">
        <is>
          <t>3-1/2" TUBING 9.2 LB/FT ALLOY 28 TSH BL</t>
        </is>
      </c>
      <c r="C528" s="1129" t="n">
        <v>31</v>
      </c>
    </row>
    <row r="529" ht="14.25" customHeight="1" s="862">
      <c r="A529" s="910" t="inlineStr">
        <is>
          <t>JT.#304</t>
        </is>
      </c>
      <c r="B529" s="910" t="inlineStr">
        <is>
          <t>3-1/2" TUBING 9.2 LB/FT ALLOY 28 TSH BL</t>
        </is>
      </c>
      <c r="C529" s="1129" t="n">
        <v>31</v>
      </c>
    </row>
    <row r="530" ht="14.25" customHeight="1" s="862">
      <c r="A530" s="910" t="inlineStr">
        <is>
          <t>JT.#305</t>
        </is>
      </c>
      <c r="B530" s="910" t="inlineStr">
        <is>
          <t>3-1/2" TUBING 9.2 LB/FT ALLOY 28 TSH BL</t>
        </is>
      </c>
      <c r="C530" s="1129" t="n">
        <v>31</v>
      </c>
    </row>
    <row r="531" ht="14.25" customHeight="1" s="862">
      <c r="A531" s="910" t="inlineStr">
        <is>
          <t>JT.#306</t>
        </is>
      </c>
      <c r="B531" s="910" t="inlineStr">
        <is>
          <t>3-1/2" TUBING 9.2 LB/FT ALLOY 28 TSH BL</t>
        </is>
      </c>
      <c r="C531" s="1129" t="n">
        <v>31</v>
      </c>
    </row>
    <row r="532" ht="14.25" customHeight="1" s="862">
      <c r="A532" s="910" t="inlineStr">
        <is>
          <t>JT.#307</t>
        </is>
      </c>
      <c r="B532" s="910" t="inlineStr">
        <is>
          <t>3-1/2" TUBING 9.2 LB/FT ALLOY 28 TSH BL</t>
        </is>
      </c>
      <c r="C532" s="1129" t="n">
        <v>31</v>
      </c>
    </row>
    <row r="533" ht="14.25" customHeight="1" s="862">
      <c r="A533" s="910" t="inlineStr">
        <is>
          <t>JT.#308</t>
        </is>
      </c>
      <c r="B533" s="910" t="inlineStr">
        <is>
          <t>3-1/2" TUBING 9.2 LB/FT ALLOY 28 TSH BL</t>
        </is>
      </c>
      <c r="C533" s="1129" t="n">
        <v>31</v>
      </c>
    </row>
    <row r="534" ht="14.25" customHeight="1" s="862">
      <c r="A534" s="910" t="inlineStr">
        <is>
          <t>JT.#309</t>
        </is>
      </c>
      <c r="B534" s="910" t="inlineStr">
        <is>
          <t>3-1/2" TUBING 9.2 LB/FT ALLOY 28 TSH BL</t>
        </is>
      </c>
      <c r="C534" s="1129" t="n">
        <v>31</v>
      </c>
    </row>
    <row r="535" ht="14.25" customHeight="1" s="862">
      <c r="A535" s="910" t="inlineStr">
        <is>
          <t>JT.#310</t>
        </is>
      </c>
      <c r="B535" s="910" t="inlineStr">
        <is>
          <t>3-1/2" TUBING 9.2 LB/FT ALLOY 28 TSH BL</t>
        </is>
      </c>
      <c r="C535" s="1129" t="n">
        <v>31</v>
      </c>
    </row>
    <row r="536" ht="14.25" customHeight="1" s="862">
      <c r="A536" s="910" t="inlineStr">
        <is>
          <t>JT.#311</t>
        </is>
      </c>
      <c r="B536" s="910" t="inlineStr">
        <is>
          <t>3-1/2" TUBING 9.2 LB/FT ALLOY 28 TSH BL</t>
        </is>
      </c>
      <c r="C536" s="1129" t="n">
        <v>31</v>
      </c>
    </row>
    <row r="537" ht="14.25" customHeight="1" s="862">
      <c r="A537" s="910" t="inlineStr">
        <is>
          <t>JT.#312</t>
        </is>
      </c>
      <c r="B537" s="910" t="inlineStr">
        <is>
          <t>3-1/2" TUBING 9.2 LB/FT ALLOY 28 TSH BL</t>
        </is>
      </c>
      <c r="C537" s="1129" t="n">
        <v>31</v>
      </c>
    </row>
    <row r="538" ht="14.25" customHeight="1" s="862">
      <c r="A538" s="910" t="inlineStr">
        <is>
          <t>JT.#313</t>
        </is>
      </c>
      <c r="B538" s="910" t="inlineStr">
        <is>
          <t>3-1/2" TUBING 9.2 LB/FT ALLOY 28 TSH BL</t>
        </is>
      </c>
      <c r="C538" s="1129" t="n">
        <v>31</v>
      </c>
    </row>
    <row r="539" ht="14.25" customHeight="1" s="862">
      <c r="A539" s="910" t="inlineStr">
        <is>
          <t>JT.#314</t>
        </is>
      </c>
      <c r="B539" s="910" t="inlineStr">
        <is>
          <t>3-1/2" TUBING 9.2 LB/FT ALLOY 28 TSH BL</t>
        </is>
      </c>
      <c r="C539" s="1129" t="n">
        <v>31</v>
      </c>
    </row>
    <row r="540" ht="14.25" customHeight="1" s="862">
      <c r="A540" s="910" t="inlineStr">
        <is>
          <t>JT.#315</t>
        </is>
      </c>
      <c r="B540" s="910" t="inlineStr">
        <is>
          <t>3-1/2" TUBING 9.2 LB/FT ALLOY 28 TSH BL</t>
        </is>
      </c>
      <c r="C540" s="1129" t="n">
        <v>31</v>
      </c>
    </row>
    <row r="541" ht="14.25" customHeight="1" s="862">
      <c r="A541" s="910" t="inlineStr">
        <is>
          <t>JT.#316</t>
        </is>
      </c>
      <c r="B541" s="910" t="inlineStr">
        <is>
          <t>3-1/2" TUBING 9.2 LB/FT ALLOY 28 TSH BL</t>
        </is>
      </c>
      <c r="C541" s="1129" t="n">
        <v>31</v>
      </c>
    </row>
    <row r="542" ht="14.25" customHeight="1" s="862">
      <c r="A542" s="910" t="inlineStr">
        <is>
          <t>JT.#317</t>
        </is>
      </c>
      <c r="B542" s="910" t="inlineStr">
        <is>
          <t>3-1/2" TUBING 9.2 LB/FT ALLOY 28 TSH BL</t>
        </is>
      </c>
      <c r="C542" s="1129" t="n">
        <v>31</v>
      </c>
    </row>
    <row r="543" ht="14.25" customHeight="1" s="862">
      <c r="A543" s="910" t="inlineStr">
        <is>
          <t>JT.#318</t>
        </is>
      </c>
      <c r="B543" s="910" t="inlineStr">
        <is>
          <t>3-1/2" TUBING 9.2 LB/FT ALLOY 28 TSH BL</t>
        </is>
      </c>
      <c r="C543" s="1129" t="n">
        <v>31</v>
      </c>
    </row>
    <row r="544" ht="14.25" customHeight="1" s="862">
      <c r="A544" s="910" t="inlineStr">
        <is>
          <t>JT.#319</t>
        </is>
      </c>
      <c r="B544" s="910" t="inlineStr">
        <is>
          <t>3-1/2" TUBING 9.2 LB/FT ALLOY 28 TSH BL</t>
        </is>
      </c>
      <c r="C544" s="1129" t="n">
        <v>31</v>
      </c>
    </row>
    <row r="545" ht="14.25" customHeight="1" s="862">
      <c r="A545" s="910" t="inlineStr">
        <is>
          <t>JT.#320</t>
        </is>
      </c>
      <c r="B545" s="910" t="inlineStr">
        <is>
          <t>3-1/2" TUBING 9.2 LB/FT ALLOY 28 TSH BL</t>
        </is>
      </c>
      <c r="C545" s="1129" t="n">
        <v>31</v>
      </c>
    </row>
    <row r="546" ht="14.25" customHeight="1" s="862">
      <c r="A546" s="910" t="inlineStr">
        <is>
          <t>JT.#321</t>
        </is>
      </c>
      <c r="B546" s="910" t="inlineStr">
        <is>
          <t>3-1/2" TUBING 9.2 LB/FT ALLOY 28 TSH BL</t>
        </is>
      </c>
      <c r="C546" s="1129" t="n">
        <v>31</v>
      </c>
    </row>
    <row r="547" ht="14.25" customHeight="1" s="862">
      <c r="A547" s="910" t="inlineStr">
        <is>
          <t>JT.#322</t>
        </is>
      </c>
      <c r="B547" s="910" t="inlineStr">
        <is>
          <t>3-1/2" TUBING 9.2 LB/FT ALLOY 28 TSH BL</t>
        </is>
      </c>
      <c r="C547" s="1129" t="n">
        <v>31</v>
      </c>
    </row>
    <row r="548" ht="14.25" customHeight="1" s="862">
      <c r="A548" s="910" t="inlineStr">
        <is>
          <t>JT.#323</t>
        </is>
      </c>
      <c r="B548" s="910" t="inlineStr">
        <is>
          <t>3-1/2" TUBING 9.2 LB/FT ALLOY 28 TSH BL</t>
        </is>
      </c>
      <c r="C548" s="1129" t="n">
        <v>31</v>
      </c>
    </row>
    <row r="549" ht="14.25" customHeight="1" s="862">
      <c r="A549" s="910" t="inlineStr">
        <is>
          <t>JT.#324</t>
        </is>
      </c>
      <c r="B549" s="910" t="inlineStr">
        <is>
          <t>3-1/2" TUBING 9.2 LB/FT ALLOY 28 TSH BL</t>
        </is>
      </c>
      <c r="C549" s="1129" t="n">
        <v>31</v>
      </c>
    </row>
    <row r="550" ht="14.25" customHeight="1" s="862">
      <c r="A550" s="910" t="inlineStr">
        <is>
          <t>JT.#325</t>
        </is>
      </c>
      <c r="B550" s="910" t="inlineStr">
        <is>
          <t>3-1/2" TUBING 9.2 LB/FT ALLOY 28 TSH BL</t>
        </is>
      </c>
      <c r="C550" s="1129" t="n">
        <v>31</v>
      </c>
    </row>
    <row r="551" ht="14.25" customHeight="1" s="862">
      <c r="A551" s="910" t="inlineStr">
        <is>
          <t>JT.#326</t>
        </is>
      </c>
      <c r="B551" s="910" t="inlineStr">
        <is>
          <t>3-1/2" TUBING 9.2 LB/FT ALLOY 28 TSH BL</t>
        </is>
      </c>
      <c r="C551" s="1129" t="n">
        <v>31</v>
      </c>
    </row>
    <row r="552" ht="14.25" customHeight="1" s="862">
      <c r="A552" s="910" t="inlineStr">
        <is>
          <t>JT.#327</t>
        </is>
      </c>
      <c r="B552" s="910" t="inlineStr">
        <is>
          <t>3-1/2" TUBING 9.2 LB/FT ALLOY 28 TSH BL</t>
        </is>
      </c>
      <c r="C552" s="1129" t="n">
        <v>31</v>
      </c>
    </row>
    <row r="553" ht="14.25" customHeight="1" s="862">
      <c r="A553" s="910" t="inlineStr">
        <is>
          <t>JT.#328</t>
        </is>
      </c>
      <c r="B553" s="910" t="inlineStr">
        <is>
          <t>3-1/2" TUBING 9.2 LB/FT ALLOY 28 TSH BL</t>
        </is>
      </c>
      <c r="C553" s="1129" t="n">
        <v>31</v>
      </c>
    </row>
    <row r="554" ht="14.25" customHeight="1" s="862">
      <c r="A554" s="910" t="inlineStr">
        <is>
          <t>JT.#329</t>
        </is>
      </c>
      <c r="B554" s="910" t="inlineStr">
        <is>
          <t>3-1/2" TUBING 9.2 LB/FT ALLOY 28 TSH BL</t>
        </is>
      </c>
      <c r="C554" s="1129" t="n">
        <v>31</v>
      </c>
    </row>
    <row r="555" ht="14.25" customHeight="1" s="862">
      <c r="A555" s="910" t="inlineStr">
        <is>
          <t>JT.#330</t>
        </is>
      </c>
      <c r="B555" s="910" t="inlineStr">
        <is>
          <t>3-1/2" TUBING 9.2 LB/FT ALLOY 28 TSH BL</t>
        </is>
      </c>
      <c r="C555" s="1129" t="n">
        <v>31</v>
      </c>
    </row>
    <row r="556" ht="14.25" customHeight="1" s="862">
      <c r="A556" s="910" t="inlineStr">
        <is>
          <t>JT.#331</t>
        </is>
      </c>
      <c r="B556" s="910" t="inlineStr">
        <is>
          <t>3-1/2" TUBING 9.2 LB/FT ALLOY 28 TSH BL</t>
        </is>
      </c>
      <c r="C556" s="1129" t="n">
        <v>31</v>
      </c>
    </row>
    <row r="557" ht="14.25" customHeight="1" s="862">
      <c r="A557" s="910" t="inlineStr">
        <is>
          <t>JT.#332</t>
        </is>
      </c>
      <c r="B557" s="910" t="inlineStr">
        <is>
          <t>3-1/2" TUBING 9.2 LB/FT ALLOY 28 TSH BL</t>
        </is>
      </c>
      <c r="C557" s="1129" t="n">
        <v>31</v>
      </c>
    </row>
    <row r="558" ht="14.25" customHeight="1" s="862">
      <c r="A558" s="910" t="inlineStr">
        <is>
          <t>JT.#333</t>
        </is>
      </c>
      <c r="B558" s="910" t="inlineStr">
        <is>
          <t>3-1/2" TUBING 9.2 LB/FT ALLOY 28 TSH BL</t>
        </is>
      </c>
      <c r="C558" s="1129" t="n">
        <v>31</v>
      </c>
    </row>
    <row r="559" ht="14.25" customHeight="1" s="862">
      <c r="A559" s="910" t="inlineStr">
        <is>
          <t>JT.#334</t>
        </is>
      </c>
      <c r="B559" s="910" t="inlineStr">
        <is>
          <t>3-1/2" TUBING 9.2 LB/FT ALLOY 28 TSH BL</t>
        </is>
      </c>
      <c r="C559" s="1129" t="n">
        <v>31</v>
      </c>
    </row>
    <row r="560" ht="14.25" customHeight="1" s="862">
      <c r="A560" s="910" t="inlineStr">
        <is>
          <t>JT.#335</t>
        </is>
      </c>
      <c r="B560" s="910" t="inlineStr">
        <is>
          <t>3-1/2" TUBING 9.2 LB/FT ALLOY 28 TSH BL</t>
        </is>
      </c>
      <c r="C560" s="1129" t="n">
        <v>31</v>
      </c>
    </row>
    <row r="561" ht="14.25" customHeight="1" s="862">
      <c r="A561" s="910" t="inlineStr">
        <is>
          <t>JT.#336</t>
        </is>
      </c>
      <c r="B561" s="910" t="inlineStr">
        <is>
          <t>3-1/2" TUBING 9.2 LB/FT ALLOY 28 TSH BL</t>
        </is>
      </c>
      <c r="C561" s="1129" t="n">
        <v>31</v>
      </c>
    </row>
    <row r="562" ht="14.25" customHeight="1" s="862">
      <c r="A562" s="910" t="inlineStr">
        <is>
          <t>JT.#337</t>
        </is>
      </c>
      <c r="B562" s="910" t="inlineStr">
        <is>
          <t>3-1/2" TUBING 9.2 LB/FT ALLOY 28 TSH BL</t>
        </is>
      </c>
      <c r="C562" s="1129" t="n">
        <v>31</v>
      </c>
    </row>
    <row r="563" ht="14.25" customHeight="1" s="862">
      <c r="A563" s="910" t="inlineStr">
        <is>
          <t>JT.#338</t>
        </is>
      </c>
      <c r="B563" s="910" t="inlineStr">
        <is>
          <t>3-1/2" TUBING 9.2 LB/FT ALLOY 28 TSH BL</t>
        </is>
      </c>
      <c r="C563" s="1129" t="n">
        <v>31</v>
      </c>
    </row>
    <row r="564" ht="14.25" customHeight="1" s="862">
      <c r="A564" s="910" t="inlineStr">
        <is>
          <t>JT.#339</t>
        </is>
      </c>
      <c r="B564" s="910" t="inlineStr">
        <is>
          <t>3-1/2" TUBING 9.2 LB/FT ALLOY 28 TSH BL</t>
        </is>
      </c>
      <c r="C564" s="1129" t="n">
        <v>31</v>
      </c>
    </row>
    <row r="565" ht="14.25" customHeight="1" s="862">
      <c r="A565" s="910" t="inlineStr">
        <is>
          <t>JT.#340</t>
        </is>
      </c>
      <c r="B565" s="910" t="inlineStr">
        <is>
          <t>3-1/2" TUBING 9.2 LB/FT ALLOY 28 TSH BL</t>
        </is>
      </c>
      <c r="C565" s="1129" t="n">
        <v>31</v>
      </c>
    </row>
    <row r="566" ht="14.25" customHeight="1" s="862">
      <c r="A566" s="910" t="inlineStr">
        <is>
          <t>JT.#341</t>
        </is>
      </c>
      <c r="B566" s="910" t="inlineStr">
        <is>
          <t>3-1/2" TUBING 9.2 LB/FT ALLOY 28 TSH BL</t>
        </is>
      </c>
      <c r="C566" s="1129" t="n">
        <v>31</v>
      </c>
    </row>
    <row r="567" ht="14.25" customHeight="1" s="862">
      <c r="A567" s="910" t="inlineStr">
        <is>
          <t>JT.#342</t>
        </is>
      </c>
      <c r="B567" s="910" t="inlineStr">
        <is>
          <t>3-1/2" TUBING 9.2 LB/FT ALLOY 28 TSH BL</t>
        </is>
      </c>
      <c r="C567" s="1129" t="n">
        <v>31</v>
      </c>
    </row>
    <row r="568" ht="14.25" customHeight="1" s="862">
      <c r="A568" s="910" t="inlineStr">
        <is>
          <t>JT.#343</t>
        </is>
      </c>
      <c r="B568" s="910" t="inlineStr">
        <is>
          <t>3-1/2" TUBING 9.2 LB/FT ALLOY 28 TSH BL</t>
        </is>
      </c>
      <c r="C568" s="1129" t="n">
        <v>31</v>
      </c>
    </row>
    <row r="569" ht="14.25" customHeight="1" s="862">
      <c r="A569" s="910" t="inlineStr">
        <is>
          <t>JT.#344</t>
        </is>
      </c>
      <c r="B569" s="910" t="inlineStr">
        <is>
          <t>3-1/2" TUBING 9.2 LB/FT ALLOY 28 TSH BL</t>
        </is>
      </c>
      <c r="C569" s="1129" t="n">
        <v>31</v>
      </c>
    </row>
    <row r="570" ht="14.25" customHeight="1" s="862">
      <c r="A570" s="910" t="inlineStr">
        <is>
          <t>JT.#345</t>
        </is>
      </c>
      <c r="B570" s="910" t="inlineStr">
        <is>
          <t>3-1/2" TUBING 9.2 LB/FT ALLOY 28 TSH BL</t>
        </is>
      </c>
      <c r="C570" s="1129" t="n">
        <v>31</v>
      </c>
    </row>
    <row r="571" ht="14.25" customHeight="1" s="862">
      <c r="A571" s="910" t="inlineStr">
        <is>
          <t>JT.#346</t>
        </is>
      </c>
      <c r="B571" s="910" t="inlineStr">
        <is>
          <t>3-1/2" TUBING 9.2 LB/FT ALLOY 28 TSH BL</t>
        </is>
      </c>
      <c r="C571" s="1129" t="n">
        <v>31</v>
      </c>
    </row>
    <row r="572" ht="14.25" customHeight="1" s="862">
      <c r="A572" s="910" t="inlineStr">
        <is>
          <t>JT.#347</t>
        </is>
      </c>
      <c r="B572" s="910" t="inlineStr">
        <is>
          <t>3-1/2" TUBING 9.2 LB/FT ALLOY 28 TSH BL</t>
        </is>
      </c>
      <c r="C572" s="1129" t="n">
        <v>31</v>
      </c>
    </row>
    <row r="573" ht="14.25" customHeight="1" s="862">
      <c r="A573" s="910" t="inlineStr">
        <is>
          <t>JT.#348</t>
        </is>
      </c>
      <c r="B573" s="910" t="inlineStr">
        <is>
          <t>3-1/2" TUBING 9.2 LB/FT ALLOY 28 TSH BL</t>
        </is>
      </c>
      <c r="C573" s="1129" t="n">
        <v>31</v>
      </c>
    </row>
    <row r="574" ht="14.25" customHeight="1" s="862">
      <c r="A574" s="910" t="inlineStr">
        <is>
          <t>JT.#349</t>
        </is>
      </c>
      <c r="B574" s="910" t="inlineStr">
        <is>
          <t>3-1/2" TUBING 9.2 LB/FT ALLOY 28 TSH BL</t>
        </is>
      </c>
      <c r="C574" s="1129" t="n">
        <v>31</v>
      </c>
    </row>
    <row r="575" ht="14.25" customHeight="1" s="862">
      <c r="A575" s="910" t="inlineStr">
        <is>
          <t>JT.#350</t>
        </is>
      </c>
      <c r="B575" s="910" t="inlineStr">
        <is>
          <t>3-1/2" TUBING 9.2 LB/FT ALLOY 28 TSH BL</t>
        </is>
      </c>
      <c r="C575" s="1129" t="n">
        <v>31</v>
      </c>
    </row>
    <row r="576" ht="14.25" customHeight="1" s="862">
      <c r="A576" s="910" t="inlineStr">
        <is>
          <t>JT.#351</t>
        </is>
      </c>
      <c r="B576" s="910" t="inlineStr">
        <is>
          <t>3-1/2" TUBING 9.2 LB/FT ALLOY 28 TSH BL</t>
        </is>
      </c>
      <c r="C576" s="1129" t="n">
        <v>31</v>
      </c>
    </row>
    <row r="577" ht="14.25" customHeight="1" s="862">
      <c r="A577" s="910" t="inlineStr">
        <is>
          <t>JT.#352</t>
        </is>
      </c>
      <c r="B577" s="910" t="inlineStr">
        <is>
          <t>3-1/2" TUBING 9.2 LB/FT ALLOY 28 TSH BL</t>
        </is>
      </c>
      <c r="C577" s="1129" t="n">
        <v>31</v>
      </c>
    </row>
    <row r="578" ht="14.25" customHeight="1" s="862">
      <c r="A578" s="910" t="inlineStr">
        <is>
          <t>JT.#353</t>
        </is>
      </c>
      <c r="B578" s="910" t="inlineStr">
        <is>
          <t>3-1/2" TUBING 9.2 LB/FT ALLOY 28 TSH BL</t>
        </is>
      </c>
      <c r="C578" s="1129" t="n">
        <v>31</v>
      </c>
    </row>
    <row r="579" ht="14.25" customHeight="1" s="862">
      <c r="A579" s="910" t="inlineStr">
        <is>
          <t>JT.#354</t>
        </is>
      </c>
      <c r="B579" s="910" t="inlineStr">
        <is>
          <t>3-1/2" TUBING 9.2 LB/FT ALLOY 28 TSH BL</t>
        </is>
      </c>
      <c r="C579" s="1129" t="n">
        <v>31</v>
      </c>
    </row>
    <row r="580" ht="14.25" customHeight="1" s="862">
      <c r="A580" s="910" t="inlineStr">
        <is>
          <t>JT.#355</t>
        </is>
      </c>
      <c r="B580" s="910" t="inlineStr">
        <is>
          <t>3-1/2" TUBING 9.2 LB/FT ALLOY 28 TSH BL</t>
        </is>
      </c>
      <c r="C580" s="1129" t="n">
        <v>31</v>
      </c>
    </row>
    <row r="581" ht="14.25" customHeight="1" s="862">
      <c r="A581" s="910" t="inlineStr">
        <is>
          <t>JT.#356</t>
        </is>
      </c>
      <c r="B581" s="910" t="inlineStr">
        <is>
          <t>3-1/2" TUBING 9.2 LB/FT ALLOY 28 TSH BL</t>
        </is>
      </c>
      <c r="C581" s="1129" t="n">
        <v>31</v>
      </c>
    </row>
    <row r="582" ht="14.25" customHeight="1" s="862">
      <c r="A582" s="910" t="inlineStr">
        <is>
          <t>JT.#357</t>
        </is>
      </c>
      <c r="B582" s="910" t="inlineStr">
        <is>
          <t>3-1/2" TUBING 9.2 LB/FT ALLOY 28 TSH BL</t>
        </is>
      </c>
      <c r="C582" s="1129" t="n">
        <v>31</v>
      </c>
    </row>
    <row r="583" ht="14.25" customHeight="1" s="862">
      <c r="A583" s="910" t="inlineStr">
        <is>
          <t>JT.#358</t>
        </is>
      </c>
      <c r="B583" s="910" t="inlineStr">
        <is>
          <t>3-1/2" TUBING 9.2 LB/FT ALLOY 28 TSH BL</t>
        </is>
      </c>
      <c r="C583" s="1129" t="n">
        <v>31</v>
      </c>
    </row>
    <row r="584" ht="14.25" customHeight="1" s="862">
      <c r="A584" s="910" t="inlineStr">
        <is>
          <t>JT.#359</t>
        </is>
      </c>
      <c r="B584" s="910" t="inlineStr">
        <is>
          <t>3-1/2" TUBING 9.2 LB/FT ALLOY 28 TSH BL</t>
        </is>
      </c>
      <c r="C584" s="1129" t="n">
        <v>31</v>
      </c>
    </row>
    <row r="585" ht="75.75" customHeight="1" s="862">
      <c r="A585" s="1787" t="inlineStr">
        <is>
          <t>F</t>
        </is>
      </c>
      <c r="B585" s="1788" t="inlineStr">
        <is>
          <t>UPPER CONN. 3-1/2" VAM TOP BOX 9.2 PPF SN 28 110 KSI
DESCRIPTION: 5 FEET XOVER
SAP: 130005011340
SUPPLIER: TENARIS
UPPER CONN. 3-1/2" TSH BLUE PIN 9.2 PPF SN 28 110 KSI</t>
        </is>
      </c>
      <c r="C585" s="1789" t="n">
        <v>5.02</v>
      </c>
      <c r="D585" s="1790" t="n">
        <v>3.908</v>
      </c>
      <c r="E585" s="1790" t="n">
        <v>2.959</v>
      </c>
      <c r="F585" s="1791" t="inlineStr">
        <is>
          <t>N/A</t>
        </is>
      </c>
      <c r="G585" s="1791" t="inlineStr">
        <is>
          <t>N/A</t>
        </is>
      </c>
      <c r="H585" s="1791" t="inlineStr">
        <is>
          <t>130005011340</t>
        </is>
      </c>
      <c r="I585" s="1791" t="inlineStr">
        <is>
          <t>N/A</t>
        </is>
      </c>
    </row>
    <row r="586" ht="105.75" customHeight="1" s="862">
      <c r="B586" s="1788" t="inlineStr">
        <is>
          <t>UPPER CONN. 3-1/2" VAM TOP 9.2#PPF INCOLOY 925 BOX
DESCRIPTION: FLOW COUPLING
PN: 2996124
S/N: 130777-04-001
SAP: 130010035671
S UPPLIER: WEATHERFORD
LOWER CONN. 3-1/2" VAM TOP 9.2#PPF</t>
        </is>
      </c>
      <c r="C586" s="1789" t="n">
        <v>5.75</v>
      </c>
      <c r="D586" s="1790" t="n">
        <v>3.937</v>
      </c>
      <c r="E586" s="1790" t="n">
        <v>2.949</v>
      </c>
      <c r="F586" s="1791" t="inlineStr">
        <is>
          <t>2996124</t>
        </is>
      </c>
      <c r="G586" s="1791" t="inlineStr">
        <is>
          <t>130777-04-001</t>
        </is>
      </c>
      <c r="H586" s="1791" t="inlineStr">
        <is>
          <t>130010035671</t>
        </is>
      </c>
      <c r="I586" s="1791" t="inlineStr">
        <is>
          <t>N/A</t>
        </is>
      </c>
    </row>
    <row r="587" ht="150" customHeight="1" s="862">
      <c r="B587" s="1788" t="inlineStr">
        <is>
          <t>UPPER CONN. 3-1/2" VAM TOP 9.2#PPF
INCOLOY 925
BOX
DESCRIPTION: WEATHERFORD ASSY, TRSV,3.5WZPE-10
2.813WOR,2kSD,9.2# VAM TOP, WN302
PN: 2980845
S/N: 12777594-01
SAP: 130010038007
SUPPLIER: WEATHERFORD
LOWER CONN. 3-1/2" VAM TOP 9.2#PPF</t>
        </is>
      </c>
      <c r="C587" s="1789" t="n">
        <v>4.44</v>
      </c>
      <c r="D587" s="1790" t="n">
        <v>5.46</v>
      </c>
      <c r="E587" s="1790" t="n">
        <v>2.813</v>
      </c>
      <c r="F587" s="1791" t="inlineStr">
        <is>
          <t>2980845</t>
        </is>
      </c>
      <c r="G587" s="1791" t="inlineStr">
        <is>
          <t>12777594-01</t>
        </is>
      </c>
      <c r="H587" s="1791" t="inlineStr">
        <is>
          <t>130010038007</t>
        </is>
      </c>
      <c r="I587" s="1791" t="inlineStr">
        <is>
          <t>N/A</t>
        </is>
      </c>
    </row>
    <row r="588" ht="135.75" customHeight="1" s="862">
      <c r="B588" s="1788" t="inlineStr">
        <is>
          <t>UPPER CONN. 3-1/2" VAM TOP 9.2#PPF
INCOLOY 925
BOX
DESCRIPTION: FLOW COUPLING
P/N: 2996124
S/N: 130777-02-002
SAP: 130010035671
SUPPLIER: WEATHERFORD
LOWER CONN. 3-1/2" VAM TOP 9.2#PPF</t>
        </is>
      </c>
      <c r="C588" s="1789" t="n">
        <v>5.75</v>
      </c>
      <c r="D588" s="1790" t="n">
        <v>3.937</v>
      </c>
      <c r="E588" s="1790" t="n">
        <v>2.949</v>
      </c>
      <c r="F588" s="1791" t="inlineStr">
        <is>
          <t>2996124</t>
        </is>
      </c>
      <c r="G588" s="1791" t="inlineStr">
        <is>
          <t>130777-02-002</t>
        </is>
      </c>
      <c r="H588" s="1791" t="inlineStr">
        <is>
          <t>130010035671</t>
        </is>
      </c>
      <c r="I588" s="1791" t="inlineStr">
        <is>
          <t>N/A</t>
        </is>
      </c>
    </row>
    <row r="589" ht="75.75" customHeight="1" s="862">
      <c r="B589" s="1788" t="inlineStr">
        <is>
          <t>UPPER CONN. 3-1/2" TSH BLUE BOX 9.2 PPF SN 28 110 KSI
DESCRIPTION: 10 FEET XOVER
SAP: 130005012487
SUPPLIER: TENARIS
LOWER CONN. 3-1/2" VAM TOP PIN 9.2 PPF SN 28 110 KSI</t>
        </is>
      </c>
      <c r="C589" s="1789" t="n">
        <v>9.93</v>
      </c>
      <c r="D589" s="1790" t="n">
        <v>3.937</v>
      </c>
      <c r="E589" s="1790" t="n">
        <v>2.969</v>
      </c>
      <c r="F589" s="1791" t="inlineStr">
        <is>
          <t>N/A</t>
        </is>
      </c>
      <c r="G589" s="1791" t="inlineStr">
        <is>
          <t>N/A</t>
        </is>
      </c>
      <c r="H589" s="1791" t="inlineStr">
        <is>
          <t>130005012487</t>
        </is>
      </c>
      <c r="I589" s="1791" t="inlineStr">
        <is>
          <t>N/A</t>
        </is>
      </c>
    </row>
    <row r="590" ht="14.25" customHeight="1" s="862">
      <c r="A590" s="910" t="inlineStr">
        <is>
          <t>JT.#360</t>
        </is>
      </c>
      <c r="B590" s="910" t="inlineStr">
        <is>
          <t>3-1/2" TUBING 9.2 LB/FT ALLOY 28 TSH BL</t>
        </is>
      </c>
      <c r="C590" s="1129" t="n">
        <v>31</v>
      </c>
    </row>
    <row r="591" ht="14.25" customHeight="1" s="862">
      <c r="A591" s="910" t="inlineStr">
        <is>
          <t>JT.#361</t>
        </is>
      </c>
      <c r="B591" s="910" t="inlineStr">
        <is>
          <t>3-1/2" TUBING 9.2 LB/FT ALLOY 28 TSH BL</t>
        </is>
      </c>
      <c r="C591" s="1129" t="n">
        <v>31</v>
      </c>
    </row>
    <row r="592" ht="14.25" customHeight="1" s="862">
      <c r="A592" s="910" t="inlineStr">
        <is>
          <t>JT.#362</t>
        </is>
      </c>
      <c r="B592" s="910" t="inlineStr">
        <is>
          <t>3-1/2" TUBING 9.2 LB/FT ALLOY 28 TSH BL</t>
        </is>
      </c>
      <c r="C592" s="1129" t="n">
        <v>31</v>
      </c>
    </row>
    <row r="593" ht="14.25" customHeight="1" s="862">
      <c r="A593" s="910" t="inlineStr">
        <is>
          <t>JT.#363</t>
        </is>
      </c>
      <c r="B593" s="910" t="inlineStr">
        <is>
          <t>3-1/2" TUBING 9.2 LB/FT ALLOY 28 TSH BL</t>
        </is>
      </c>
      <c r="C593" s="1129" t="n">
        <v>31</v>
      </c>
    </row>
    <row r="594" ht="14.25" customHeight="1" s="862">
      <c r="A594" s="910" t="inlineStr">
        <is>
          <t>JT.#364</t>
        </is>
      </c>
      <c r="B594" s="910" t="inlineStr">
        <is>
          <t>3-1/2" TUBING 9.2 LB/FT ALLOY 28 TSH BL</t>
        </is>
      </c>
      <c r="C594" s="1129" t="n">
        <v>31</v>
      </c>
    </row>
    <row r="595" ht="75.75" customHeight="1" s="862">
      <c r="A595" s="1792" t="inlineStr">
        <is>
          <t>F - 1</t>
        </is>
      </c>
      <c r="B595" s="1793" t="inlineStr">
        <is>
          <t>UPPER CONN. 3-1/2" TENARIS BLUE 9.2#PPF SN 28 110 KSI
DESCRIPTION: 5 FEET PUP JOINT
SAP: 130005011338
SUPPLIER:TENARIS
LOWER CONN. 3-1/2" TENARIS BLUE 9.2#PPF SN 28 110 KSI</t>
        </is>
      </c>
      <c r="C595" s="1794" t="n">
        <v>5.08</v>
      </c>
      <c r="D595" s="1795" t="n">
        <v>3.937</v>
      </c>
      <c r="E595" s="1795" t="n">
        <v>2.969</v>
      </c>
      <c r="F595" s="1796" t="inlineStr">
        <is>
          <t>N/A</t>
        </is>
      </c>
      <c r="G595" s="1796" t="inlineStr">
        <is>
          <t>N/A</t>
        </is>
      </c>
      <c r="H595" s="1796" t="inlineStr">
        <is>
          <t>130005011338</t>
        </is>
      </c>
      <c r="I595" s="1796" t="inlineStr">
        <is>
          <t>N/A</t>
        </is>
      </c>
    </row>
    <row r="596" ht="75.75" customHeight="1" s="862">
      <c r="B596" s="1793" t="inlineStr">
        <is>
          <t>UPPER CONN. 4-1/2" VAM TOP 12.6 #PPF SN 28 120 KSI BOX
DESCRIPTION : X OVER
4 1/2 PIN TOP X 3 1/2 PIN BTM
SAP: 130005012767 SUPPLIER: TENARIS
LOWER CONN. 3-1/2" TENARIS BLUE 9.2#PPF SN 28 120 KSI PIN</t>
        </is>
      </c>
      <c r="C596" s="1794" t="n">
        <v>2.48</v>
      </c>
      <c r="D596" s="1795" t="n">
        <v>4.5</v>
      </c>
      <c r="E596" s="1795" t="n">
        <v>2.969</v>
      </c>
      <c r="F596" s="1796" t="inlineStr">
        <is>
          <t>N/A</t>
        </is>
      </c>
      <c r="G596" s="1796" t="inlineStr">
        <is>
          <t>N/A</t>
        </is>
      </c>
      <c r="H596" s="1796" t="inlineStr">
        <is>
          <t>130005012767</t>
        </is>
      </c>
      <c r="I596" s="1796" t="inlineStr">
        <is>
          <t>N/A</t>
        </is>
      </c>
    </row>
    <row r="597" ht="120.75" customHeight="1" s="862">
      <c r="B597" s="1793"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794" t="n">
        <v>1.9</v>
      </c>
      <c r="D597" s="1795" t="n">
        <v>11</v>
      </c>
      <c r="E597" s="1795" t="n">
        <v>3.9</v>
      </c>
      <c r="F597" s="1796" t="inlineStr">
        <is>
          <t>R893330-1ADC11 REV D</t>
        </is>
      </c>
      <c r="G597" s="1796" t="inlineStr">
        <is>
          <t>ADWHT80698-05</t>
        </is>
      </c>
      <c r="H597" s="1796" t="inlineStr">
        <is>
          <t>130010044633</t>
        </is>
      </c>
      <c r="I597" s="1796"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A1" activeCellId="1" sqref="A11:S69 A1"/>
    </sheetView>
  </sheetViews>
  <sheetFormatPr baseColWidth="8" defaultColWidth="8.59765625" defaultRowHeight="14.25" customHeight="0" zeroHeight="0" outlineLevelRow="0"/>
  <cols>
    <col width="20" customWidth="1" style="910" min="1" max="1"/>
    <col width="55" customWidth="1" style="910" min="2" max="2"/>
    <col width="15" customWidth="1" style="910" min="3" max="8"/>
    <col width="18" customWidth="1" style="910" min="9" max="11"/>
    <col width="14" customWidth="1" style="910" min="12" max="12"/>
  </cols>
  <sheetData>
    <row r="1" ht="14.25" customHeight="1" s="862">
      <c r="A1" s="1696" t="inlineStr">
        <is>
          <t>Image Name</t>
        </is>
      </c>
      <c r="B1" s="1696" t="inlineStr">
        <is>
          <t>Description</t>
        </is>
      </c>
      <c r="C1" s="1696" t="inlineStr">
        <is>
          <t>ID</t>
        </is>
      </c>
      <c r="D1" s="872" t="n"/>
      <c r="E1" s="1696" t="inlineStr">
        <is>
          <t>OD</t>
        </is>
      </c>
      <c r="F1" s="872" t="n"/>
      <c r="G1" s="1696" t="inlineStr">
        <is>
          <t>Length</t>
        </is>
      </c>
      <c r="H1" s="872" t="n"/>
      <c r="I1" s="1696" t="inlineStr">
        <is>
          <t>PN</t>
        </is>
      </c>
      <c r="J1" s="1696" t="inlineStr">
        <is>
          <t>SN</t>
        </is>
      </c>
      <c r="K1" s="1696" t="inlineStr">
        <is>
          <t>SAP</t>
        </is>
      </c>
      <c r="L1" s="1696" t="inlineStr">
        <is>
          <t>CAT ID</t>
        </is>
      </c>
    </row>
    <row r="2" ht="90.75" customHeight="1" s="862">
      <c r="A2" s="1797" t="inlineStr">
        <is>
          <t>F - 1</t>
        </is>
      </c>
      <c r="B2" s="1798" t="inlineStr">
        <is>
          <t>UPPER CONN. 4-1/2" VAMTOP 12.6# L80
Box
DESCRIPTION: 30' LANDING JOINT
SAP: 130005009160
SUPPLIER:VAM
LOWER CONN. 4-1/2" VAMTOP 12.6# L80 PIN</t>
        </is>
      </c>
      <c r="C2" s="1799" t="n">
        <v>3.913</v>
      </c>
      <c r="D2" s="875" t="n"/>
      <c r="E2" s="1799" t="n">
        <v>4.937</v>
      </c>
      <c r="F2" s="875" t="n"/>
      <c r="G2" s="1800" t="n">
        <v>24.82</v>
      </c>
      <c r="H2" s="875" t="n"/>
      <c r="I2" s="1798" t="inlineStr">
        <is>
          <t>N/A</t>
        </is>
      </c>
      <c r="J2" s="1798" t="inlineStr">
        <is>
          <t>N/A</t>
        </is>
      </c>
      <c r="K2" s="1798" t="inlineStr">
        <is>
          <t>130005009160</t>
        </is>
      </c>
      <c r="L2" s="1798" t="inlineStr">
        <is>
          <t>N/A</t>
        </is>
      </c>
    </row>
    <row r="3" ht="15.75" customHeight="1" s="862">
      <c r="A3" s="1582" t="n"/>
      <c r="B3" s="1798" t="inlineStr">
        <is>
          <t>UPPER CONN. 4-1/2" VAM TOP 12.6 #PPF INC 718 120 KSI BOX
DESCRIPTION: GE TBGHGR; CWCT-ED-CLL; 11 X 4-1/2; 4-1/2 12.6 PPF
VAM TOP BOX BTM; 4-1/2 VAM
P/N: R893330-1ADC11 REV D
S/N - ADWHT80698-05
SAP: 130010044633
SUPPLIER: GE
LOWER CONN. 4-1/2" VAM TOP 12.6 #PPF INC 718 120 KSI BOX</t>
        </is>
      </c>
      <c r="C3" s="1799" t="n">
        <v>3.9</v>
      </c>
      <c r="D3" s="875" t="n"/>
      <c r="E3" s="1799" t="n">
        <v>11</v>
      </c>
      <c r="F3" s="875" t="n"/>
      <c r="G3" s="1800" t="n">
        <v>1.9</v>
      </c>
      <c r="H3" s="875" t="n"/>
      <c r="I3" s="1798" t="inlineStr">
        <is>
          <t>R893330-1ADC11 REV D</t>
        </is>
      </c>
      <c r="J3" s="1798" t="inlineStr">
        <is>
          <t>ADWHT80698-05</t>
        </is>
      </c>
      <c r="K3" s="1798" t="inlineStr">
        <is>
          <t>130010044633</t>
        </is>
      </c>
      <c r="L3" s="1798" t="inlineStr">
        <is>
          <t>N/A</t>
        </is>
      </c>
    </row>
    <row r="4" ht="75.75" customHeight="1" s="862">
      <c r="A4" s="1582" t="n"/>
      <c r="B4" s="1798" t="inlineStr">
        <is>
          <t>UPPER CONN. 4-1/2" VAM TOP 12.6 #PPF SN 28 120 KSI BOX
DESCRIPTION : X OVER
4 1/2 PIN TOP X 3 1/2 PIN BTM
SAP: 130005012767 SUPPLIER: TENARIS
LOWER CONN. 3-1/2" TENARIS BLUE 9.2#PPF SN 28 120 KSI PIN</t>
        </is>
      </c>
      <c r="C4" s="1799" t="n">
        <v>2.969</v>
      </c>
      <c r="D4" s="875" t="n"/>
      <c r="E4" s="1799" t="n">
        <v>4.5</v>
      </c>
      <c r="F4" s="875" t="n"/>
      <c r="G4" s="1800" t="n">
        <v>2.48</v>
      </c>
      <c r="H4" s="875" t="n"/>
      <c r="I4" s="1798" t="inlineStr">
        <is>
          <t>N/A</t>
        </is>
      </c>
      <c r="J4" s="1798" t="inlineStr">
        <is>
          <t>N/A</t>
        </is>
      </c>
      <c r="K4" s="1798" t="inlineStr">
        <is>
          <t>130005012767</t>
        </is>
      </c>
      <c r="L4" s="1798" t="inlineStr">
        <is>
          <t>N/A</t>
        </is>
      </c>
    </row>
    <row r="5" ht="75.75" customHeight="1" s="862">
      <c r="A5" s="1148" t="n"/>
      <c r="B5" s="1798" t="inlineStr">
        <is>
          <t>UPPER CONN. 3-1/2" TENARIS BLUE 9.2#PPF SN 28 110 KSI
DESCRIPTION: 5 FEET PUP JOINT
SAP: 130005011338
SUPPLIER:TENARIS
LOWER CONN. 3-1/2" TENARIS BLUE 9.2#PPF SN 28 110 KSI</t>
        </is>
      </c>
      <c r="C5" s="1799" t="n">
        <v>2.969</v>
      </c>
      <c r="D5" s="875" t="n"/>
      <c r="E5" s="1799" t="n">
        <v>3.937</v>
      </c>
      <c r="F5" s="875" t="n"/>
      <c r="G5" s="1800" t="n">
        <v>4.779</v>
      </c>
      <c r="H5" s="875" t="n"/>
      <c r="I5" s="1798" t="inlineStr">
        <is>
          <t>N/A</t>
        </is>
      </c>
      <c r="J5" s="1798" t="inlineStr">
        <is>
          <t>N/A</t>
        </is>
      </c>
      <c r="K5" s="1798" t="inlineStr">
        <is>
          <t>130005011338</t>
        </is>
      </c>
      <c r="L5" s="1798" t="inlineStr">
        <is>
          <t>N/A</t>
        </is>
      </c>
    </row>
    <row r="6" ht="14.25" customHeight="1" s="862">
      <c r="B6" s="1798" t="n"/>
      <c r="C6" s="1799" t="n">
        <v>2.969</v>
      </c>
      <c r="D6" s="875" t="n"/>
      <c r="E6" s="1799" t="n">
        <v>3.937</v>
      </c>
      <c r="F6" s="875" t="n"/>
      <c r="G6" s="1081" t="n"/>
      <c r="H6" s="875" t="n"/>
      <c r="I6" s="1798" t="n"/>
      <c r="J6" s="1798" t="n"/>
      <c r="K6" s="1798" t="n"/>
      <c r="L6" s="1798" t="n"/>
    </row>
    <row r="7" ht="15.75" customHeight="1" s="862">
      <c r="A7" s="1801" t="inlineStr">
        <is>
          <t>F</t>
        </is>
      </c>
      <c r="B7" s="1798" t="inlineStr">
        <is>
          <t>UPPER CONN. 3-1/2" TSH BLUE BOX 9.2 PPF SN 28 110 KSI
DESCRIPTION: 10 FEET XOVER
SAP: 130005012487
SUPPLIER: TENARIS
LOWER CONN. 3-1/2" VAM TOP PIN 9.2 PPF SN 28 110 KSI</t>
        </is>
      </c>
      <c r="C7" s="1799" t="n">
        <v>2.969</v>
      </c>
      <c r="D7" s="875" t="n"/>
      <c r="E7" s="1799" t="n">
        <v>3.937</v>
      </c>
      <c r="F7" s="875" t="n"/>
      <c r="G7" s="1802" t="n">
        <v>9.93</v>
      </c>
      <c r="H7" s="875" t="n"/>
      <c r="I7" s="1798" t="inlineStr">
        <is>
          <t>N/A</t>
        </is>
      </c>
      <c r="J7" s="1798" t="inlineStr">
        <is>
          <t>N/A</t>
        </is>
      </c>
      <c r="K7" s="1798" t="inlineStr">
        <is>
          <t>130005012487</t>
        </is>
      </c>
      <c r="L7" s="1798" t="inlineStr">
        <is>
          <t>N/A</t>
        </is>
      </c>
    </row>
    <row r="8" ht="15.75" customHeight="1" s="862">
      <c r="A8" s="1582" t="n"/>
      <c r="B8" s="1798" t="inlineStr">
        <is>
          <t>UPPER CONN. 3-1/2" VAM TOP 9.2#PPF
INCOLOY 925
BOX
DESCRIPTION: FLOW COUPLING
P/N: 2996124
S/N: 130777-02-002
SAP: 130010035671
SUPPLIER: WEATHERFORD
LOWER CONN. 3-1/2" VAM TOP 9.2#PPF</t>
        </is>
      </c>
      <c r="C8" s="1799" t="n">
        <v>2.949</v>
      </c>
      <c r="D8" s="875" t="n"/>
      <c r="E8" s="1799" t="n">
        <v>3.937</v>
      </c>
      <c r="F8" s="875" t="n"/>
      <c r="G8" s="1802" t="n">
        <v>5.75</v>
      </c>
      <c r="H8" s="875" t="n"/>
      <c r="I8" s="1798" t="inlineStr">
        <is>
          <t>2996124</t>
        </is>
      </c>
      <c r="J8" s="1798" t="inlineStr">
        <is>
          <t>130777-02-002</t>
        </is>
      </c>
      <c r="K8" s="1798" t="inlineStr">
        <is>
          <t>130010035671</t>
        </is>
      </c>
      <c r="L8" s="1798" t="inlineStr">
        <is>
          <t>N/A</t>
        </is>
      </c>
    </row>
    <row r="9" ht="150" customHeight="1" s="862">
      <c r="A9" s="1582" t="n"/>
      <c r="B9" s="1798" t="inlineStr">
        <is>
          <t>UPPER CONN. 3-1/2" VAM TOP 9.2#PPF
INCOLOY 925
BOX
DESCRIPTION: WEATHERFORD ASSY, TRSV,3.5WZPE-10
2.813WOR,2kSD,9.2# VAM TOP, WN302
PN: 2980845
S/N: 12777594-01
SAP: 130010038007
SUPPLIER: WEATHERFORD
LOWER CONN. 3-1/2" VAM TOP 9.2#PPF</t>
        </is>
      </c>
      <c r="C9" s="1799" t="n">
        <v>2.813</v>
      </c>
      <c r="D9" s="875" t="n"/>
      <c r="E9" s="1799" t="n">
        <v>5.46</v>
      </c>
      <c r="F9" s="875" t="n"/>
      <c r="G9" s="1802" t="n">
        <v>4.44</v>
      </c>
      <c r="H9" s="875" t="n"/>
      <c r="I9" s="1798" t="inlineStr">
        <is>
          <t>2980845</t>
        </is>
      </c>
      <c r="J9" s="1798" t="inlineStr">
        <is>
          <t>12777594-01</t>
        </is>
      </c>
      <c r="K9" s="1798" t="inlineStr">
        <is>
          <t>130010038007</t>
        </is>
      </c>
      <c r="L9" s="1798" t="inlineStr">
        <is>
          <t>N/A</t>
        </is>
      </c>
    </row>
    <row r="10" ht="105.75" customHeight="1" s="862">
      <c r="A10" s="1582" t="n"/>
      <c r="B10" s="1798" t="inlineStr">
        <is>
          <t>UPPER CONN. 3-1/2" VAM TOP 9.2#PPF INCOLOY 925 BOX
DESCRIPTION: FLOW COUPLING
PN: 2996124
S/N: 130777-04-001
SAP: 130010035671
S UPPLIER: WEATHERFORD
LOWER CONN. 3-1/2" VAM TOP 9.2#PPF</t>
        </is>
      </c>
      <c r="C10" s="1799" t="n">
        <v>2.949</v>
      </c>
      <c r="D10" s="875" t="n"/>
      <c r="E10" s="1799" t="n">
        <v>3.937</v>
      </c>
      <c r="F10" s="875" t="n"/>
      <c r="G10" s="1802" t="n">
        <v>5.75</v>
      </c>
      <c r="H10" s="875" t="n"/>
      <c r="I10" s="1798" t="inlineStr">
        <is>
          <t>2996124</t>
        </is>
      </c>
      <c r="J10" s="1798" t="inlineStr">
        <is>
          <t>130777-04-001</t>
        </is>
      </c>
      <c r="K10" s="1798" t="inlineStr">
        <is>
          <t>130010035671</t>
        </is>
      </c>
      <c r="L10" s="1798" t="inlineStr">
        <is>
          <t>N/A</t>
        </is>
      </c>
    </row>
    <row r="11" ht="15.75" customHeight="1" s="862">
      <c r="A11" s="1148" t="n"/>
      <c r="B11" s="1798" t="inlineStr">
        <is>
          <t>UPPER CONN. 3-1/2" VAM TOP BOX 9.2 PPF SN 28 110 KSI
DESCRIPTION: 5 FEET XOVER
SAP: 130005011340
SUPPLIER: TENARIS
UPPER CONN. 3-1/2" TSH BLUE PIN 9.2 PPF SN 28 110 KSI</t>
        </is>
      </c>
      <c r="C11" s="1799" t="n">
        <v>2.959</v>
      </c>
      <c r="D11" s="875" t="n"/>
      <c r="E11" s="1799" t="n">
        <v>3.908</v>
      </c>
      <c r="F11" s="875" t="n"/>
      <c r="G11" s="1802" t="n">
        <v>4.719</v>
      </c>
      <c r="H11" s="875" t="n"/>
      <c r="I11" s="1798" t="inlineStr">
        <is>
          <t>N/A</t>
        </is>
      </c>
      <c r="J11" s="1798" t="inlineStr">
        <is>
          <t>N/A</t>
        </is>
      </c>
      <c r="K11" s="1798" t="inlineStr">
        <is>
          <t>130005011340</t>
        </is>
      </c>
      <c r="L11" s="1798" t="inlineStr">
        <is>
          <t>N/A</t>
        </is>
      </c>
    </row>
    <row r="12" ht="14.25" customHeight="1" s="862">
      <c r="B12" s="1798" t="n"/>
      <c r="C12" s="1799" t="n">
        <v>2.959</v>
      </c>
      <c r="D12" s="875" t="n"/>
      <c r="E12" s="1799" t="n">
        <v>3.908</v>
      </c>
      <c r="F12" s="875" t="n"/>
      <c r="G12" s="1081" t="n"/>
      <c r="H12" s="875" t="n"/>
      <c r="I12" s="1798" t="n"/>
      <c r="J12" s="1798" t="n"/>
      <c r="K12" s="1798" t="n"/>
      <c r="L12" s="1798" t="n"/>
    </row>
    <row r="13" ht="75.75" customHeight="1" s="862">
      <c r="A13" s="1803" t="inlineStr">
        <is>
          <t>D4</t>
        </is>
      </c>
      <c r="B13" s="1798" t="inlineStr">
        <is>
          <t>UPPER CONN. 3-1/2" TSH BLUE BOX 9.2 PPF SN 28 110 KSI
DESCRIPTION: 5 FEET XOVER
SAP: 130005011340
SUPPLIER: TENARIS
LOWER CONN. 3-1/2" VAM TOP PIN 9.2 PPF SN 28 110 KSI</t>
        </is>
      </c>
      <c r="C13" s="1799" t="n">
        <v>2.969</v>
      </c>
      <c r="D13" s="875" t="n"/>
      <c r="E13" s="1799" t="n">
        <v>3.937</v>
      </c>
      <c r="F13" s="875" t="n"/>
      <c r="G13" s="1804" t="n">
        <v>4.96</v>
      </c>
      <c r="H13" s="875" t="n"/>
      <c r="I13" s="1798" t="inlineStr">
        <is>
          <t>N/A</t>
        </is>
      </c>
      <c r="J13" s="1798" t="inlineStr">
        <is>
          <t>N/A</t>
        </is>
      </c>
      <c r="K13" s="1798" t="inlineStr">
        <is>
          <t>130005011340</t>
        </is>
      </c>
      <c r="L13" s="1798" t="inlineStr">
        <is>
          <t>N/A</t>
        </is>
      </c>
    </row>
    <row r="14" ht="75.75" customHeight="1" s="862">
      <c r="A14" s="1582" t="n"/>
      <c r="B14" s="1798" t="inlineStr">
        <is>
          <t>UPPER CONN. 3-1/2" VAM TOP BOX 9.2 PPF TX28- 110 KSI
DESCRIPTION: 10 FEET XOVER
SAP: 1130013006387
SUPPLIER: TBX
LOWER CONN-3-1/2" SENTINELPRIME PIN 9.2 PPF TX28110 KSI</t>
        </is>
      </c>
      <c r="C14" s="1799" t="n">
        <v>2.959</v>
      </c>
      <c r="D14" s="875" t="n"/>
      <c r="E14" s="1799" t="n">
        <v>3.908</v>
      </c>
      <c r="F14" s="875" t="n"/>
      <c r="G14" s="1804" t="n">
        <v>9.779999999999999</v>
      </c>
      <c r="H14" s="875" t="n"/>
      <c r="I14" s="1798" t="inlineStr">
        <is>
          <t>N/A</t>
        </is>
      </c>
      <c r="J14" s="1798" t="inlineStr">
        <is>
          <t>N/A</t>
        </is>
      </c>
      <c r="K14" s="1798" t="inlineStr">
        <is>
          <t>1130013006387</t>
        </is>
      </c>
      <c r="L14" s="1798" t="inlineStr">
        <is>
          <t>N/A</t>
        </is>
      </c>
    </row>
    <row r="15" ht="135.75" customHeight="1" s="862">
      <c r="A15" s="1582" t="n"/>
      <c r="B15" s="1798"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799" t="n">
        <v>2.9</v>
      </c>
      <c r="D15" s="875" t="n"/>
      <c r="E15" s="1799" t="n">
        <v>5.82</v>
      </c>
      <c r="F15" s="875" t="n"/>
      <c r="G15" s="1804" t="n">
        <v>8.69</v>
      </c>
      <c r="H15" s="875" t="n"/>
      <c r="I15" s="1798" t="inlineStr">
        <is>
          <t>3205577</t>
        </is>
      </c>
      <c r="J15" s="1798" t="inlineStr">
        <is>
          <t>12696654-13</t>
        </is>
      </c>
      <c r="K15" s="1798" t="inlineStr">
        <is>
          <t>130010036652</t>
        </is>
      </c>
      <c r="L15" s="1798" t="inlineStr">
        <is>
          <t>N/A</t>
        </is>
      </c>
    </row>
    <row r="16" ht="75.75" customHeight="1" s="862">
      <c r="A16" s="1582" t="n"/>
      <c r="B16" s="1798" t="inlineStr">
        <is>
          <t>UPPER CONN. 3-1/2" SENTINEL PRIME BOX 9.2 PPF TX28-110 KSI
DESCRIPTION: 5 FEET XOVER
SAP: 130013006385
SUPPLIER: TBX
LOWER CONN. 3-1/2" VAM TOP PIN 9.2 PPF TX28-110 KSI</t>
        </is>
      </c>
      <c r="C16" s="1799" t="n">
        <v>2.921</v>
      </c>
      <c r="D16" s="875" t="n"/>
      <c r="E16" s="1799" t="n">
        <v>3.929</v>
      </c>
      <c r="F16" s="875" t="n"/>
      <c r="G16" s="1804" t="n">
        <v>4.96</v>
      </c>
      <c r="H16" s="875" t="n"/>
      <c r="I16" s="1798" t="inlineStr">
        <is>
          <t>N/A</t>
        </is>
      </c>
      <c r="J16" s="1798" t="inlineStr">
        <is>
          <t>N/A</t>
        </is>
      </c>
      <c r="K16" s="1798" t="inlineStr">
        <is>
          <t>130013006385</t>
        </is>
      </c>
      <c r="L16" s="1798" t="inlineStr">
        <is>
          <t>N/A</t>
        </is>
      </c>
    </row>
    <row r="17" ht="75.75" customHeight="1" s="862">
      <c r="A17" s="1148" t="n"/>
      <c r="B17" s="1798" t="inlineStr">
        <is>
          <t>UPPER CONN. 3-1/2" VAM TOP BOX 9.2 PPF SN 28 110 KSI
DESCRIPTION: 5 FEET XOVER
SAP: 130005011340
SUPPLIER: TENARIS
LOWER CONN. 3-1/2" TSH BLUE PIN 9.2 PPF SN 28 110 KSI</t>
        </is>
      </c>
      <c r="C17" s="1799" t="n">
        <v>2.959</v>
      </c>
      <c r="D17" s="875" t="n"/>
      <c r="E17" s="1799" t="n">
        <v>3.908</v>
      </c>
      <c r="F17" s="875" t="n"/>
      <c r="G17" s="1804" t="n">
        <v>4.879</v>
      </c>
      <c r="H17" s="875" t="n"/>
      <c r="I17" s="1798" t="inlineStr">
        <is>
          <t>N/A</t>
        </is>
      </c>
      <c r="J17" s="1798" t="inlineStr">
        <is>
          <t>N/A</t>
        </is>
      </c>
      <c r="K17" s="1798" t="inlineStr">
        <is>
          <t>130005011340</t>
        </is>
      </c>
      <c r="L17" s="1798" t="inlineStr">
        <is>
          <t>N/A</t>
        </is>
      </c>
    </row>
    <row r="18" ht="14.25" customHeight="1" s="862">
      <c r="B18" s="1798" t="n"/>
      <c r="C18" s="1799" t="n">
        <v>2.959</v>
      </c>
      <c r="D18" s="875" t="n"/>
      <c r="E18" s="1799" t="n">
        <v>3.908</v>
      </c>
      <c r="F18" s="875" t="n"/>
      <c r="G18" s="1081" t="n"/>
      <c r="H18" s="875" t="n"/>
      <c r="I18" s="1798" t="n"/>
      <c r="J18" s="1798" t="n"/>
      <c r="K18" s="1798" t="n"/>
      <c r="L18" s="1798" t="n"/>
    </row>
    <row r="19" ht="75.75" customHeight="1" s="862">
      <c r="A19" s="1805" t="inlineStr">
        <is>
          <t>D3</t>
        </is>
      </c>
      <c r="B19" s="1798" t="inlineStr">
        <is>
          <t>UPPER CONN. 3-1/2" TSH BLUE BOX 9.2 PPF SN 28 110 KSI
DESCRIPTION: 10 FEET XOVER
SAP: 130005012487
SUPPLIER: TENARIS
LOWER CONN. 3-1/2" VAM TOP PIN 9.2 PPF SN 28 110 KSI</t>
        </is>
      </c>
      <c r="C19" s="1799" t="n">
        <v>2.969</v>
      </c>
      <c r="D19" s="875" t="n"/>
      <c r="E19" s="1799" t="n">
        <v>3.937</v>
      </c>
      <c r="F19" s="875" t="n"/>
      <c r="G19" s="1806" t="n">
        <v>9.93</v>
      </c>
      <c r="H19" s="875" t="n"/>
      <c r="I19" s="1798" t="inlineStr">
        <is>
          <t>N/A</t>
        </is>
      </c>
      <c r="J19" s="1798" t="inlineStr">
        <is>
          <t>N/A</t>
        </is>
      </c>
      <c r="K19" s="1798" t="inlineStr">
        <is>
          <t>130005012487</t>
        </is>
      </c>
      <c r="L19" s="1798" t="inlineStr">
        <is>
          <t>N/A</t>
        </is>
      </c>
    </row>
    <row r="20" ht="15.75" customHeight="1" s="862">
      <c r="A20" s="1582" t="n"/>
      <c r="B20" s="1798" t="inlineStr">
        <is>
          <t>UPPER CONN. 3-1/2" VAM TOP BOX 9.2 PPF TX28- 110 KSI
DESCRIPTION: 5 FEET XOVER
SAP: 130013006383
SUPPLIER: TBX
LOWER CONN -3-1/2" SENTINEL PRIME PIN 9.2 PPF TX28-110 KSI</t>
        </is>
      </c>
      <c r="C20" s="1799" t="n">
        <v>2.959</v>
      </c>
      <c r="D20" s="875" t="n"/>
      <c r="E20" s="1799" t="n">
        <v>3.908</v>
      </c>
      <c r="F20" s="875" t="n"/>
      <c r="G20" s="1806" t="n">
        <v>4.88</v>
      </c>
      <c r="H20" s="875" t="n"/>
      <c r="I20" s="1798" t="inlineStr">
        <is>
          <t>N/A</t>
        </is>
      </c>
      <c r="J20" s="1798" t="inlineStr">
        <is>
          <t>N/A</t>
        </is>
      </c>
      <c r="K20" s="1798" t="inlineStr">
        <is>
          <t>130013006383</t>
        </is>
      </c>
      <c r="L20" s="1798" t="inlineStr">
        <is>
          <t>N/A</t>
        </is>
      </c>
    </row>
    <row r="21" ht="15.75" customHeight="1" s="862">
      <c r="A21" s="1582" t="n"/>
      <c r="B21" s="1798"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799" t="n">
        <v>2.9</v>
      </c>
      <c r="D21" s="875" t="n"/>
      <c r="E21" s="1799" t="n">
        <v>5.82</v>
      </c>
      <c r="F21" s="875" t="n"/>
      <c r="G21" s="1806" t="n">
        <v>8.69</v>
      </c>
      <c r="H21" s="875" t="n"/>
      <c r="I21" s="1798" t="inlineStr">
        <is>
          <t>3205577</t>
        </is>
      </c>
      <c r="J21" s="1798" t="inlineStr">
        <is>
          <t>12600735-08</t>
        </is>
      </c>
      <c r="K21" s="1798" t="inlineStr">
        <is>
          <t>130010036652</t>
        </is>
      </c>
      <c r="L21" s="1798" t="inlineStr">
        <is>
          <t>N/A</t>
        </is>
      </c>
    </row>
    <row r="22" ht="15.75" customHeight="1" s="862">
      <c r="A22" s="1582" t="n"/>
      <c r="B22" s="1798" t="inlineStr">
        <is>
          <t>UPPER CONN. 3-1/2" SENTINEL PRIME BOX 9.2 PPF TX28-110 KSI
DESCRIPTION: 5 FEET XOVER
SAP: 130013006385
SUPPLIER: TBX
LOWER CONN. 3-1/2" VAM TOP PIN 9.2 PPF TX28-110 KSI</t>
        </is>
      </c>
      <c r="C22" s="1799" t="n">
        <v>2.921</v>
      </c>
      <c r="D22" s="875" t="n"/>
      <c r="E22" s="1799" t="n">
        <v>3.929</v>
      </c>
      <c r="F22" s="875" t="n"/>
      <c r="G22" s="1806" t="n">
        <v>4.96</v>
      </c>
      <c r="H22" s="875" t="n"/>
      <c r="I22" s="1798" t="inlineStr">
        <is>
          <t>N/A</t>
        </is>
      </c>
      <c r="J22" s="1798" t="inlineStr">
        <is>
          <t>N/A</t>
        </is>
      </c>
      <c r="K22" s="1798" t="inlineStr">
        <is>
          <t>130013006385</t>
        </is>
      </c>
      <c r="L22" s="1798" t="inlineStr">
        <is>
          <t>N/A</t>
        </is>
      </c>
    </row>
    <row r="23" ht="15.75" customHeight="1" s="862">
      <c r="A23" s="1148" t="n"/>
      <c r="B23" s="1798" t="inlineStr">
        <is>
          <t>UPPER CONN. 3-1/2" VAM TOP BOX 9.2 PPF SN 28 110 KSI
DESCRIPTION: 5 FEET XOVER
SAP: 130005011340
SUPPLIER: TENARIS
LOWER CONN. 3-1/2" TSH BLUE PIN 9.2 PPF SN 28 110 KSI</t>
        </is>
      </c>
      <c r="C23" s="1799" t="n">
        <v>2.959</v>
      </c>
      <c r="D23" s="875" t="n"/>
      <c r="E23" s="1799" t="n">
        <v>3.908</v>
      </c>
      <c r="F23" s="875" t="n"/>
      <c r="G23" s="1806" t="n">
        <v>4.889</v>
      </c>
      <c r="H23" s="875" t="n"/>
      <c r="I23" s="1798" t="inlineStr">
        <is>
          <t>N/A</t>
        </is>
      </c>
      <c r="J23" s="1798" t="inlineStr">
        <is>
          <t>N/A</t>
        </is>
      </c>
      <c r="K23" s="1798" t="inlineStr">
        <is>
          <t>130005011340</t>
        </is>
      </c>
      <c r="L23" s="1798" t="inlineStr">
        <is>
          <t>N/A</t>
        </is>
      </c>
    </row>
    <row r="24" ht="14.25" customHeight="1" s="862">
      <c r="B24" s="1798" t="n"/>
      <c r="C24" s="1799" t="n">
        <v>2.959</v>
      </c>
      <c r="D24" s="875" t="n"/>
      <c r="E24" s="1799" t="n">
        <v>3.908</v>
      </c>
      <c r="F24" s="875" t="n"/>
      <c r="G24" s="1081" t="n"/>
      <c r="H24" s="875" t="n"/>
      <c r="I24" s="1798" t="n"/>
      <c r="J24" s="1798" t="n"/>
      <c r="K24" s="1798" t="n"/>
      <c r="L24" s="1798" t="n"/>
    </row>
    <row r="25" ht="75.75" customHeight="1" s="862">
      <c r="A25" s="1807" t="inlineStr">
        <is>
          <t>D2</t>
        </is>
      </c>
      <c r="B25" s="1798" t="inlineStr">
        <is>
          <t>UPPER CONN. 3-1/2" TSH BLUE BOX 9.2 PPF SN 28 110 KSI
DESCRIPTION: 10 FEET XOVER
SAP: 130005012487
SUPPLIER: TENARIS
LOWER CONN. 3-1/2" VAM TOP PIN 9.2 PPF SN 28 110 KSI</t>
        </is>
      </c>
      <c r="C25" s="1799" t="n">
        <v>2.969</v>
      </c>
      <c r="D25" s="875" t="n"/>
      <c r="E25" s="1799" t="n">
        <v>3.937</v>
      </c>
      <c r="F25" s="875" t="n"/>
      <c r="G25" s="1808" t="n">
        <v>9.949999999999999</v>
      </c>
      <c r="H25" s="875" t="n"/>
      <c r="I25" s="1798" t="inlineStr">
        <is>
          <t>N/A</t>
        </is>
      </c>
      <c r="J25" s="1798" t="inlineStr">
        <is>
          <t>N/A</t>
        </is>
      </c>
      <c r="K25" s="1798" t="inlineStr">
        <is>
          <t>130005012487</t>
        </is>
      </c>
      <c r="L25" s="1798" t="inlineStr">
        <is>
          <t>N/A</t>
        </is>
      </c>
    </row>
    <row r="26" ht="75.75" customHeight="1" s="862">
      <c r="A26" s="1582" t="n"/>
      <c r="B26" s="1798" t="inlineStr">
        <is>
          <t>UPPER CONN. 3-1/2" VAM TOP BOX 9.2 PPF TX28- 110 KSI
DESCRIPTION: 5 FEET XOVER
SAP: 130013006383
SUPPLIER: TBX
LOWER CONN -3-1/2" SENTINEL PRIME PIN 9.2 PPF TX28-110 KSI</t>
        </is>
      </c>
      <c r="C26" s="1799" t="n">
        <v>2.959</v>
      </c>
      <c r="D26" s="875" t="n"/>
      <c r="E26" s="1799" t="n">
        <v>3.908</v>
      </c>
      <c r="F26" s="875" t="n"/>
      <c r="G26" s="1808" t="n">
        <v>4.8</v>
      </c>
      <c r="H26" s="875" t="n"/>
      <c r="I26" s="1798" t="inlineStr">
        <is>
          <t>N/A</t>
        </is>
      </c>
      <c r="J26" s="1798" t="inlineStr">
        <is>
          <t>N/A</t>
        </is>
      </c>
      <c r="K26" s="1798" t="inlineStr">
        <is>
          <t>130013006383</t>
        </is>
      </c>
      <c r="L26" s="1798" t="inlineStr">
        <is>
          <t>N/A</t>
        </is>
      </c>
    </row>
    <row r="27" ht="135.75" customHeight="1" s="862">
      <c r="A27" s="1582" t="n"/>
      <c r="B27" s="1798"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799" t="n">
        <v>2.9</v>
      </c>
      <c r="D27" s="875" t="n"/>
      <c r="E27" s="1799" t="n">
        <v>5.82</v>
      </c>
      <c r="F27" s="875" t="n"/>
      <c r="G27" s="1808" t="n">
        <v>8.69</v>
      </c>
      <c r="H27" s="875" t="n"/>
      <c r="I27" s="1798" t="inlineStr">
        <is>
          <t>3205577</t>
        </is>
      </c>
      <c r="J27" s="1798" t="inlineStr">
        <is>
          <t>12636080-05</t>
        </is>
      </c>
      <c r="K27" s="1798" t="inlineStr">
        <is>
          <t>130010036652</t>
        </is>
      </c>
      <c r="L27" s="1798" t="inlineStr">
        <is>
          <t>N/A</t>
        </is>
      </c>
    </row>
    <row r="28" ht="75.75" customHeight="1" s="862">
      <c r="A28" s="1582" t="n"/>
      <c r="B28" s="1798" t="inlineStr">
        <is>
          <t>UPPER CONN. 3-1/2" SENTINEL PRIME BOX 9.2 PPF TX28- 110 KSI
DESCRIPTION: 5 FEET XOVER
SAP: 130013006385
SUPPLIER: TBX
LOWER CONN. 3-1/2" VAM TOP PIN 9.2 PPF TX28-110 KSI</t>
        </is>
      </c>
      <c r="C28" s="1799" t="n">
        <v>2.921</v>
      </c>
      <c r="D28" s="875" t="n"/>
      <c r="E28" s="1799" t="n">
        <v>3.929</v>
      </c>
      <c r="F28" s="875" t="n"/>
      <c r="G28" s="1808" t="n">
        <v>4.97</v>
      </c>
      <c r="H28" s="875" t="n"/>
      <c r="I28" s="1798" t="inlineStr">
        <is>
          <t>N/A</t>
        </is>
      </c>
      <c r="J28" s="1798" t="inlineStr">
        <is>
          <t>N/A</t>
        </is>
      </c>
      <c r="K28" s="1798" t="inlineStr">
        <is>
          <t>130013006385</t>
        </is>
      </c>
      <c r="L28" s="1798" t="inlineStr">
        <is>
          <t>N/A</t>
        </is>
      </c>
    </row>
    <row r="29" ht="75.75" customHeight="1" s="862">
      <c r="A29" s="1148" t="n"/>
      <c r="B29" s="1798" t="inlineStr">
        <is>
          <t>UPPER CONN. 3-1/2" VAM TOP BOX 9.2 PPF SN 28 110 KSI
DESCRIPTION: 5 FEET XOVER
SAP: 130005011340
SUPPLIER: TENARIS
LOWER CONN. 3-1/2" TSH BLUE PIN 9.2 PPF SN 28 110 KSI</t>
        </is>
      </c>
      <c r="C29" s="1799" t="n">
        <v>2.959</v>
      </c>
      <c r="D29" s="875" t="n"/>
      <c r="E29" s="1799" t="n">
        <v>3.908</v>
      </c>
      <c r="F29" s="875" t="n"/>
      <c r="G29" s="1808" t="n">
        <v>4.879</v>
      </c>
      <c r="H29" s="875" t="n"/>
      <c r="I29" s="1798" t="inlineStr">
        <is>
          <t>N/A</t>
        </is>
      </c>
      <c r="J29" s="1798" t="inlineStr">
        <is>
          <t>N/A</t>
        </is>
      </c>
      <c r="K29" s="1798" t="inlineStr">
        <is>
          <t>130005011340</t>
        </is>
      </c>
      <c r="L29" s="1798" t="inlineStr">
        <is>
          <t>N/A</t>
        </is>
      </c>
    </row>
    <row r="30" ht="14.25" customHeight="1" s="862">
      <c r="B30" s="1798" t="n"/>
      <c r="C30" s="1799" t="n">
        <v>2.959</v>
      </c>
      <c r="D30" s="875" t="n"/>
      <c r="E30" s="1799" t="n">
        <v>3.908</v>
      </c>
      <c r="F30" s="875" t="n"/>
      <c r="G30" s="1081" t="n"/>
      <c r="H30" s="875" t="n"/>
      <c r="I30" s="1798" t="n"/>
      <c r="J30" s="1798" t="n"/>
      <c r="K30" s="1798" t="n"/>
      <c r="L30" s="1798" t="n"/>
    </row>
    <row r="31" ht="75.75" customHeight="1" s="862">
      <c r="A31" s="1809" t="inlineStr">
        <is>
          <t>D1</t>
        </is>
      </c>
      <c r="B31" s="1798" t="inlineStr">
        <is>
          <t>UPPER CONN. 3-1/2" TSH BLUE BOX 9.2 PPF SN 28 110 KSI
DESCRIPTION: 10 FEET XOVER
SAP: 130005012487
SUPPLIER: TENARIS
LOWER CONN. 3-1/2" VAM TOP PIN 9.2 PPF SN 28 110 KSI</t>
        </is>
      </c>
      <c r="C31" s="1799" t="n">
        <v>2.969</v>
      </c>
      <c r="D31" s="875" t="n"/>
      <c r="E31" s="1799" t="n">
        <v>3.937</v>
      </c>
      <c r="F31" s="875" t="n"/>
      <c r="G31" s="1810" t="n">
        <v>9.949999999999999</v>
      </c>
      <c r="H31" s="875" t="n"/>
      <c r="I31" s="1798" t="inlineStr">
        <is>
          <t>N/A</t>
        </is>
      </c>
      <c r="J31" s="1798" t="inlineStr">
        <is>
          <t>N/A</t>
        </is>
      </c>
      <c r="K31" s="1798" t="inlineStr">
        <is>
          <t>130005012487</t>
        </is>
      </c>
      <c r="L31" s="1798" t="inlineStr">
        <is>
          <t>N/A</t>
        </is>
      </c>
    </row>
    <row r="32" ht="15.75" customHeight="1" s="862">
      <c r="A32" s="1582" t="n"/>
      <c r="B32" s="1798" t="inlineStr">
        <is>
          <t>UPPER CONN. 3-1/2" VAM TOP BOX 9.2 PPF TX28- 110 KSI
DESCRIPTION: 5 FEET XOVER
SAP: 130013006383
SUPPLIER: TBX
LOWER CONN -3-1/2" SENTINEL PRIME PIN 9.2 PPF TX28-110 KSI</t>
        </is>
      </c>
      <c r="C32" s="1799" t="n">
        <v>2.959</v>
      </c>
      <c r="D32" s="875" t="n"/>
      <c r="E32" s="1799" t="n">
        <v>3.908</v>
      </c>
      <c r="F32" s="875" t="n"/>
      <c r="G32" s="1810" t="n">
        <v>4.85</v>
      </c>
      <c r="H32" s="875" t="n"/>
      <c r="I32" s="1798" t="inlineStr">
        <is>
          <t>N/A</t>
        </is>
      </c>
      <c r="J32" s="1798" t="inlineStr">
        <is>
          <t>N/A</t>
        </is>
      </c>
      <c r="K32" s="1798" t="inlineStr">
        <is>
          <t>130013006383</t>
        </is>
      </c>
      <c r="L32" s="1798" t="inlineStr">
        <is>
          <t>N/A</t>
        </is>
      </c>
    </row>
    <row r="33" ht="15.75" customHeight="1" s="862">
      <c r="A33" s="1582" t="n"/>
      <c r="B33" s="1798"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799" t="n">
        <v>2.9</v>
      </c>
      <c r="D33" s="875" t="n"/>
      <c r="E33" s="1799" t="n">
        <v>5.82</v>
      </c>
      <c r="F33" s="875" t="n"/>
      <c r="G33" s="1810" t="n">
        <v>8.69</v>
      </c>
      <c r="H33" s="875" t="n"/>
      <c r="I33" s="1798" t="inlineStr">
        <is>
          <t>3205577</t>
        </is>
      </c>
      <c r="J33" s="1798" t="inlineStr">
        <is>
          <t>12636080-03</t>
        </is>
      </c>
      <c r="K33" s="1798" t="inlineStr">
        <is>
          <t>130010036652</t>
        </is>
      </c>
      <c r="L33" s="1798" t="inlineStr">
        <is>
          <t>N/A</t>
        </is>
      </c>
    </row>
    <row r="34" ht="75.75" customHeight="1" s="862">
      <c r="A34" s="1582" t="n"/>
      <c r="B34" s="1798" t="inlineStr">
        <is>
          <t>UPPER CONN. 3-1/2" SENTINEL PRIME BOX 9.2 PPF TX28-110 KSI
DESCRIPTION: 5 FEET XOVER
SAP: 130013006385
SUPPLIER: TBX
LOWER CONN. 3-1/2" VAM TOP PIN 9.2 PPF TX28-110 KSI</t>
        </is>
      </c>
      <c r="C34" s="1799" t="n">
        <v>2.921</v>
      </c>
      <c r="D34" s="875" t="n"/>
      <c r="E34" s="1799" t="n">
        <v>3.929</v>
      </c>
      <c r="F34" s="875" t="n"/>
      <c r="G34" s="1810" t="n">
        <v>4.96</v>
      </c>
      <c r="H34" s="875" t="n"/>
      <c r="I34" s="1798" t="inlineStr">
        <is>
          <t>N/A</t>
        </is>
      </c>
      <c r="J34" s="1798" t="inlineStr">
        <is>
          <t>N/A</t>
        </is>
      </c>
      <c r="K34" s="1798" t="inlineStr">
        <is>
          <t>130013006385</t>
        </is>
      </c>
      <c r="L34" s="1798" t="inlineStr">
        <is>
          <t>N/A</t>
        </is>
      </c>
    </row>
    <row r="35" ht="75.75" customHeight="1" s="862">
      <c r="A35" s="1148" t="n"/>
      <c r="B35" s="1798" t="inlineStr">
        <is>
          <t>UPPER CONN. 3-1/2" VAM TOP BOX 9.2 PPF SN 28 110 KSI
DESCRIPTION: 5 FEET XOVER
SAP: 130005011340
SUPPLIER: TENARIS
LOWER CONN. 3-1/2" TSH BLUE PIN 9.2 PPF SN 28 110 KSI</t>
        </is>
      </c>
      <c r="C35" s="1799" t="n">
        <v>2.959</v>
      </c>
      <c r="D35" s="875" t="n"/>
      <c r="E35" s="1799" t="n">
        <v>3.908</v>
      </c>
      <c r="F35" s="875" t="n"/>
      <c r="G35" s="1810" t="n">
        <v>4.899</v>
      </c>
      <c r="H35" s="875" t="n"/>
      <c r="I35" s="1798" t="inlineStr">
        <is>
          <t>N/A</t>
        </is>
      </c>
      <c r="J35" s="1798" t="inlineStr">
        <is>
          <t>N/A</t>
        </is>
      </c>
      <c r="K35" s="1798" t="inlineStr">
        <is>
          <t>130005011340</t>
        </is>
      </c>
      <c r="L35" s="1798" t="inlineStr">
        <is>
          <t>N/A</t>
        </is>
      </c>
    </row>
    <row r="36" ht="14.25" customHeight="1" s="862">
      <c r="B36" s="1798" t="n"/>
      <c r="C36" s="1799" t="n">
        <v>2.959</v>
      </c>
      <c r="D36" s="875" t="n"/>
      <c r="E36" s="1799" t="n">
        <v>3.908</v>
      </c>
      <c r="F36" s="875" t="n"/>
      <c r="G36" s="1081" t="n"/>
      <c r="H36" s="875" t="n"/>
      <c r="I36" s="1798" t="n"/>
      <c r="J36" s="1798" t="n"/>
      <c r="K36" s="1798" t="n"/>
      <c r="L36" s="1798" t="n"/>
    </row>
    <row r="37" ht="75.75" customHeight="1" s="862">
      <c r="A37" s="1811" t="inlineStr">
        <is>
          <t>C</t>
        </is>
      </c>
      <c r="B37" s="1798" t="inlineStr">
        <is>
          <t>UPPER CONN. 3-1/2" TSH BLUE BOX 9.2 PPF SN 28 110 KSI
DESCRIPTION: 5 FEET XOVER
SAP: 130005011444
SUPPLIER: TENARIS
LOWER CONN. 3-1/2" VAM TOP PIN 9.2 PPF SN 28 110 KSI</t>
        </is>
      </c>
      <c r="C37" s="1799" t="n">
        <v>2.969</v>
      </c>
      <c r="D37" s="875" t="n"/>
      <c r="E37" s="1799" t="n">
        <v>3.937</v>
      </c>
      <c r="F37" s="875" t="n"/>
      <c r="G37" s="1812" t="n">
        <v>4.99</v>
      </c>
      <c r="H37" s="875" t="n"/>
      <c r="I37" s="1798" t="inlineStr">
        <is>
          <t>N/A</t>
        </is>
      </c>
      <c r="J37" s="1798" t="inlineStr">
        <is>
          <t>N/A</t>
        </is>
      </c>
      <c r="K37" s="1798" t="inlineStr">
        <is>
          <t>130005011444</t>
        </is>
      </c>
      <c r="L37" s="1798" t="inlineStr">
        <is>
          <t>N/A</t>
        </is>
      </c>
    </row>
    <row r="38" ht="150" customHeight="1" s="862">
      <c r="A38" s="1582" t="n"/>
      <c r="B38" s="1798"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799" t="n">
        <v>2.919</v>
      </c>
      <c r="D38" s="875" t="n"/>
      <c r="E38" s="1799" t="n">
        <v>5.91</v>
      </c>
      <c r="F38" s="875" t="n"/>
      <c r="G38" s="1812" t="n">
        <v>9.710000000000001</v>
      </c>
      <c r="H38" s="875" t="n"/>
      <c r="I38" s="1798" t="inlineStr">
        <is>
          <t>2960170</t>
        </is>
      </c>
      <c r="J38" s="1798" t="inlineStr">
        <is>
          <t>12857761-01</t>
        </is>
      </c>
      <c r="K38" s="1798" t="inlineStr">
        <is>
          <t>130010037571</t>
        </is>
      </c>
      <c r="L38" s="1798" t="inlineStr">
        <is>
          <t>N/A</t>
        </is>
      </c>
    </row>
    <row r="39" ht="75.75" customHeight="1" s="862">
      <c r="A39" s="1582" t="n"/>
      <c r="B39" s="1798" t="inlineStr">
        <is>
          <t>UPPER CONN. 3-1/2" VAM TOP 9.2#PPF SM2535 BOX
DESCRIPTION: 10 FEET PUP JOINT
SAP: 130013000213
SUPPLIER: VAM
LOWER CONN. 3-1/2" VAM TOP 9.2#PPF SM2535 PIN</t>
        </is>
      </c>
      <c r="C39" s="1799" t="n">
        <v>2.959</v>
      </c>
      <c r="D39" s="875" t="n"/>
      <c r="E39" s="1799" t="n">
        <v>3.908</v>
      </c>
      <c r="F39" s="875" t="n"/>
      <c r="G39" s="1812" t="n">
        <v>9.92</v>
      </c>
      <c r="H39" s="875" t="n"/>
      <c r="I39" s="1798" t="inlineStr">
        <is>
          <t>N/A</t>
        </is>
      </c>
      <c r="J39" s="1798" t="inlineStr">
        <is>
          <t>N/A</t>
        </is>
      </c>
      <c r="K39" s="1798" t="inlineStr">
        <is>
          <t>130013000213</t>
        </is>
      </c>
      <c r="L39" s="1798" t="inlineStr">
        <is>
          <t>N/A</t>
        </is>
      </c>
    </row>
    <row r="40" ht="15.75" customHeight="1" s="862">
      <c r="A40" s="1582" t="n"/>
      <c r="B40" s="1798" t="inlineStr">
        <is>
          <t>UPPER CONN. 3-1/2" VAM TOP 9.2#PPF SM 2535 BOX
DESCRIPTION: 5 FEET PUP JOINT
SAP: 130005002758
SUPPLIER: VAM
LOWER CONN. 3-1/2" VAM TOP 9.2#PPF SM 2535 PIN</t>
        </is>
      </c>
      <c r="C40" s="1799" t="n">
        <v>2.959</v>
      </c>
      <c r="D40" s="875" t="n"/>
      <c r="E40" s="1799" t="n">
        <v>3.908</v>
      </c>
      <c r="F40" s="875" t="n"/>
      <c r="G40" s="1812" t="n">
        <v>4.92</v>
      </c>
      <c r="H40" s="875" t="n"/>
      <c r="I40" s="1798" t="inlineStr">
        <is>
          <t>N/A</t>
        </is>
      </c>
      <c r="J40" s="1798" t="inlineStr">
        <is>
          <t>N/A</t>
        </is>
      </c>
      <c r="K40" s="1798" t="inlineStr">
        <is>
          <t>130005002758</t>
        </is>
      </c>
      <c r="L40" s="1798" t="inlineStr">
        <is>
          <t>N/A</t>
        </is>
      </c>
    </row>
    <row r="41" ht="105.75" customHeight="1" s="862">
      <c r="A41" s="1582" t="n"/>
      <c r="B41" s="1798" t="inlineStr">
        <is>
          <t>UPPER CONN. 3-1/2" VAM TOP 9.2#PPF INC 925 KSI BOX
DESCRIPTION: 2.750 WXN Nipple
PN: 2963809
S/N :12527047-08
SAP: 130010036868
SUPPLIER: WEATHERFORD
LOWER CONN.3-1/2" VAM TOP 9.2#PPF INC 925KSI PIN</t>
        </is>
      </c>
      <c r="C41" s="1799" t="n">
        <v>2.637</v>
      </c>
      <c r="D41" s="875" t="n"/>
      <c r="E41" s="1799" t="n">
        <v>3.885</v>
      </c>
      <c r="F41" s="875" t="n"/>
      <c r="G41" s="1812" t="n">
        <v>1.15</v>
      </c>
      <c r="H41" s="875" t="n"/>
      <c r="I41" s="1798" t="inlineStr">
        <is>
          <t>2963809</t>
        </is>
      </c>
      <c r="J41" s="1798" t="inlineStr">
        <is>
          <t>12527047-08</t>
        </is>
      </c>
      <c r="K41" s="1798" t="inlineStr">
        <is>
          <t>130010036868</t>
        </is>
      </c>
      <c r="L41" s="1798" t="inlineStr">
        <is>
          <t>N/A</t>
        </is>
      </c>
    </row>
    <row r="42" ht="75.75" customHeight="1" s="862">
      <c r="A42" s="1148" t="n"/>
      <c r="B42" s="1798" t="inlineStr">
        <is>
          <t>UPPER CONN. 3-1/2" VAM TOP BOX 9.2 PPF SN 28 110 KSI
DESCRIPTION: 5 FEET XOVER
SAP: 130005011340
SUPPLIER: TENARIS
LOWER CONN. 3-1/2" TSH BLUE PIN 9.2 PPF SN 28 110 KSI</t>
        </is>
      </c>
      <c r="C42" s="1799" t="n">
        <v>2.959</v>
      </c>
      <c r="D42" s="875" t="n"/>
      <c r="E42" s="1799" t="n">
        <v>3.908</v>
      </c>
      <c r="F42" s="875" t="n"/>
      <c r="G42" s="1812" t="n">
        <v>4.859</v>
      </c>
      <c r="H42" s="875" t="n"/>
      <c r="I42" s="1798" t="inlineStr">
        <is>
          <t>N/A</t>
        </is>
      </c>
      <c r="J42" s="1798" t="inlineStr">
        <is>
          <t>N/A</t>
        </is>
      </c>
      <c r="K42" s="1798" t="inlineStr">
        <is>
          <t>130005011340</t>
        </is>
      </c>
      <c r="L42" s="1798" t="inlineStr">
        <is>
          <t>N/A</t>
        </is>
      </c>
    </row>
    <row r="43" ht="14.25" customHeight="1" s="862">
      <c r="B43" s="1798" t="n"/>
      <c r="C43" s="1799" t="n">
        <v>2.959</v>
      </c>
      <c r="D43" s="875" t="n"/>
      <c r="E43" s="1799" t="n">
        <v>3.908</v>
      </c>
      <c r="F43" s="875" t="n"/>
      <c r="G43" s="1081" t="n"/>
      <c r="H43" s="875" t="n"/>
      <c r="I43" s="1798" t="n"/>
      <c r="J43" s="1798" t="n"/>
      <c r="K43" s="1798" t="n"/>
      <c r="L43" s="1798" t="n"/>
    </row>
    <row r="44" ht="75.75" customHeight="1" s="862">
      <c r="A44" s="1813" t="inlineStr">
        <is>
          <t>B</t>
        </is>
      </c>
      <c r="B44" s="1798" t="inlineStr">
        <is>
          <t>UPPER CONN. 3-1/2" TSH BLUE BOX 9.2 PPF SN 28 110 KSI
DESCRIPTION: 10 FEET XOVER
SAP: 130005011444
SUPPLIER: TENARIS
LOWER CONN. 3-1/2" VAM TOP PIN 9.2 PPF SN 28 110 KSI</t>
        </is>
      </c>
      <c r="C44" s="1799" t="n">
        <v>2.969</v>
      </c>
      <c r="D44" s="875" t="n"/>
      <c r="E44" s="1799" t="n">
        <v>3.937</v>
      </c>
      <c r="F44" s="875" t="n"/>
      <c r="G44" s="1814" t="n">
        <v>9.83</v>
      </c>
      <c r="H44" s="875" t="n"/>
      <c r="I44" s="1798" t="inlineStr">
        <is>
          <t>N/A</t>
        </is>
      </c>
      <c r="J44" s="1798" t="inlineStr">
        <is>
          <t>N/A</t>
        </is>
      </c>
      <c r="K44" s="1798" t="inlineStr">
        <is>
          <t>130005011444</t>
        </is>
      </c>
      <c r="L44" s="1798" t="inlineStr">
        <is>
          <t>N/A</t>
        </is>
      </c>
    </row>
    <row r="45" ht="75.75" customHeight="1" s="862">
      <c r="A45" s="1582" t="n"/>
      <c r="B45" s="1798" t="inlineStr">
        <is>
          <t>UPPER CONN. 3-1/2" VAM TOP BOX 9.2 PPF TX28- 110 KSI
DESCRIPTION: 5 FEET XOVER
SAP: 130013006383
SUPPLIER: TBX
LOWER CONN -3-1/2" SENTINEL PRIME PIN 9.2 PPF TX28-110 KSI</t>
        </is>
      </c>
      <c r="C45" s="1799" t="n">
        <v>2.959</v>
      </c>
      <c r="D45" s="875" t="n"/>
      <c r="E45" s="1799" t="n">
        <v>3.908</v>
      </c>
      <c r="F45" s="875" t="n"/>
      <c r="G45" s="1814" t="n">
        <v>4.8</v>
      </c>
      <c r="H45" s="875" t="n"/>
      <c r="I45" s="1798" t="inlineStr">
        <is>
          <t>N/A</t>
        </is>
      </c>
      <c r="J45" s="1798" t="inlineStr">
        <is>
          <t>N/A</t>
        </is>
      </c>
      <c r="K45" s="1798" t="inlineStr">
        <is>
          <t>130013006383</t>
        </is>
      </c>
      <c r="L45" s="1798" t="inlineStr">
        <is>
          <t>N/A</t>
        </is>
      </c>
    </row>
    <row r="46" ht="105.75" customHeight="1" s="862">
      <c r="A46" s="1582" t="n"/>
      <c r="B46" s="1798" t="inlineStr">
        <is>
          <t>UPPER CONN. 3-1/2" SENTINEL PRIME 9.2#PPF INC 925 BOX
DESCRIPTION: NINE ENERGY MULTICYCLE BARRIER DEVICE
7 CYCLES REMAINING
P/N: 3207251
S/N: 100 086 877
SAP: 130010036003 SUPPLIER: NINE ENERGY
LOWER CONN- 3 1/2 9.2 SENTINEL PRIME 9.2 PPF INC 925 PIN</t>
        </is>
      </c>
      <c r="C46" s="1799" t="n">
        <v>2.91</v>
      </c>
      <c r="D46" s="875" t="n"/>
      <c r="E46" s="1799" t="n">
        <v>4.8</v>
      </c>
      <c r="F46" s="875" t="n"/>
      <c r="G46" s="1814" t="n">
        <v>5.22</v>
      </c>
      <c r="H46" s="875" t="n"/>
      <c r="I46" s="1798" t="inlineStr">
        <is>
          <t>3207251</t>
        </is>
      </c>
      <c r="J46" s="1798" t="inlineStr">
        <is>
          <t>100 086 877</t>
        </is>
      </c>
      <c r="K46" s="1798" t="inlineStr">
        <is>
          <t>130010036003</t>
        </is>
      </c>
      <c r="L46" s="1798" t="inlineStr">
        <is>
          <t>N/A</t>
        </is>
      </c>
    </row>
    <row r="47" ht="75.75" customHeight="1" s="862">
      <c r="A47" s="1582" t="n"/>
      <c r="B47" s="1798" t="inlineStr">
        <is>
          <t>UPPER CONN. 3-1/2" SENTINEL PRIME BOX 9.2 PPF TX28-110 KSI
DESCRIPTION: 5 FEET XOVER
SAP: 130013006385
SUPPLIER: TBX
LOWER CONN. 3-1/2" VAM TOP PIN 9.2 PPF TX28- 110 KSI</t>
        </is>
      </c>
      <c r="C47" s="1799" t="n">
        <v>2.921</v>
      </c>
      <c r="D47" s="875" t="n"/>
      <c r="E47" s="1799" t="n">
        <v>3.929</v>
      </c>
      <c r="F47" s="875" t="n"/>
      <c r="G47" s="1814" t="n">
        <v>4.91</v>
      </c>
      <c r="H47" s="875" t="n"/>
      <c r="I47" s="1798" t="inlineStr">
        <is>
          <t>N/A</t>
        </is>
      </c>
      <c r="J47" s="1798" t="inlineStr">
        <is>
          <t>N/A</t>
        </is>
      </c>
      <c r="K47" s="1798" t="inlineStr">
        <is>
          <t>130013006385</t>
        </is>
      </c>
      <c r="L47" s="1798" t="inlineStr">
        <is>
          <t>N/A</t>
        </is>
      </c>
    </row>
    <row r="48" ht="75.75" customHeight="1" s="862">
      <c r="A48" s="1148" t="n"/>
      <c r="B48" s="1798" t="inlineStr">
        <is>
          <t>UPPER CONN. 3-1/2" VAM TOP BOX 9.2 PPF SN 28 110 KSI
DESCRIPTION: 5 FEET XOVER
SAP: 130005011340
SUPPLIER: TENARIS
LOWER CONN. 3-1/2" TSH BLUE PIN 9.2 PPF SN 28 110 KSI</t>
        </is>
      </c>
      <c r="C48" s="1799" t="n">
        <v>2.959</v>
      </c>
      <c r="D48" s="875" t="n"/>
      <c r="E48" s="1799" t="n">
        <v>3.908</v>
      </c>
      <c r="F48" s="875" t="n"/>
      <c r="G48" s="1814" t="n">
        <v>4.879</v>
      </c>
      <c r="H48" s="875" t="n"/>
      <c r="I48" s="1798" t="inlineStr">
        <is>
          <t>N/A</t>
        </is>
      </c>
      <c r="J48" s="1798" t="inlineStr">
        <is>
          <t>N/A</t>
        </is>
      </c>
      <c r="K48" s="1798" t="inlineStr">
        <is>
          <t>130005011340</t>
        </is>
      </c>
      <c r="L48" s="1798" t="inlineStr">
        <is>
          <t>N/A</t>
        </is>
      </c>
    </row>
    <row r="49" ht="14.25" customHeight="1" s="862">
      <c r="B49" s="1798" t="n"/>
      <c r="C49" s="1799" t="n">
        <v>2.959</v>
      </c>
      <c r="D49" s="875" t="n"/>
      <c r="E49" s="1799" t="n">
        <v>3.908</v>
      </c>
      <c r="F49" s="875" t="n"/>
      <c r="G49" s="1081" t="n"/>
      <c r="H49" s="875" t="n"/>
      <c r="I49" s="1798" t="n"/>
      <c r="J49" s="1798" t="n"/>
      <c r="K49" s="1798" t="n"/>
      <c r="L49" s="1798" t="n"/>
    </row>
    <row r="50" ht="75.75" customHeight="1" s="862">
      <c r="A50" s="1815" t="inlineStr">
        <is>
          <t>SP-01</t>
        </is>
      </c>
      <c r="B50" s="1798" t="inlineStr">
        <is>
          <t>UPPER CONN . 3-1/2" TSH BLUE BOX 9.2 PPF SN 28 110 KSI
DESCRIPTION: 3 FEET XOVER
SAP: 130005011337
SUPPLIER: TENARIS
LOWER CONN. 3-1/2" VAM TOP PIN 9.2 PPF SN 28 110 KSI</t>
        </is>
      </c>
      <c r="C50" s="1799" t="n">
        <v>2.969</v>
      </c>
      <c r="D50" s="875" t="n"/>
      <c r="E50" s="1799" t="n">
        <v>3.937</v>
      </c>
      <c r="F50" s="875" t="n"/>
      <c r="G50" s="1816" t="n">
        <v>2.78</v>
      </c>
      <c r="H50" s="875" t="n"/>
      <c r="I50" s="1798" t="inlineStr">
        <is>
          <t>N/A</t>
        </is>
      </c>
      <c r="J50" s="1798" t="inlineStr">
        <is>
          <t>N/A</t>
        </is>
      </c>
      <c r="K50" s="1798" t="inlineStr">
        <is>
          <t>130005011337</t>
        </is>
      </c>
      <c r="L50" s="1798" t="inlineStr">
        <is>
          <t>N/A</t>
        </is>
      </c>
    </row>
    <row r="51" ht="135.75" customHeight="1" s="862">
      <c r="A51" s="1582" t="n"/>
      <c r="B51" s="1798" t="inlineStr">
        <is>
          <t>UPPER CONN.
3-1/2 9.2 PPF, 110KSI VAM TOP BOX
DESCRIPTION:
PCKR, SWEL,6,3-1/2,A925, OIL
P/N: 2991712
S/N: RDT-UAE-1003629
SAP: 130010039426
SUPPLIER: WFD-REACTIVE
LOWER CONN.</t>
        </is>
      </c>
      <c r="C51" s="1799" t="n">
        <v>2.953</v>
      </c>
      <c r="D51" s="875" t="n"/>
      <c r="E51" s="1799" t="n">
        <v>5.7</v>
      </c>
      <c r="F51" s="875" t="n"/>
      <c r="G51" s="1816" t="n">
        <v>30.88</v>
      </c>
      <c r="H51" s="875" t="n"/>
      <c r="I51" s="1798" t="inlineStr">
        <is>
          <t>2991712</t>
        </is>
      </c>
      <c r="J51" s="1798" t="inlineStr">
        <is>
          <t>RDT-UAE-1003629</t>
        </is>
      </c>
      <c r="K51" s="1798" t="inlineStr">
        <is>
          <t>130010039426</t>
        </is>
      </c>
      <c r="L51" s="1798" t="inlineStr">
        <is>
          <t>N/A</t>
        </is>
      </c>
    </row>
    <row r="52" ht="75.75" customHeight="1" s="862">
      <c r="A52" s="1148" t="n"/>
      <c r="B52" s="1798" t="inlineStr">
        <is>
          <t>UPPER CONN. 3-1/2" VAM TOP BOX 9.2 PPF SN 28 110 KSI
DESCRIPTION: 5 FEET XOVER
SAP: 130005011340
SUPPLIER: TENARIS
UPPER CONN. 3-1/2" TSH BLUE PIN 9.2 PPF SN 28 110 KSI</t>
        </is>
      </c>
      <c r="C52" s="1799" t="n">
        <v>2.959</v>
      </c>
      <c r="D52" s="875" t="n"/>
      <c r="E52" s="1799" t="n">
        <v>3.908</v>
      </c>
      <c r="F52" s="875" t="n"/>
      <c r="G52" s="1816" t="n">
        <v>4.879</v>
      </c>
      <c r="H52" s="875" t="n"/>
      <c r="I52" s="1798" t="inlineStr">
        <is>
          <t>N/A</t>
        </is>
      </c>
      <c r="J52" s="1798" t="inlineStr">
        <is>
          <t>N/A</t>
        </is>
      </c>
      <c r="K52" s="1798" t="inlineStr">
        <is>
          <t>130005011340</t>
        </is>
      </c>
      <c r="L52" s="1798" t="inlineStr">
        <is>
          <t>N/A</t>
        </is>
      </c>
    </row>
    <row r="53" ht="14.25" customHeight="1" s="862">
      <c r="B53" s="1798" t="n"/>
      <c r="C53" s="1799" t="n">
        <v>2.959</v>
      </c>
      <c r="D53" s="875" t="n"/>
      <c r="E53" s="1799" t="n">
        <v>3.908</v>
      </c>
      <c r="F53" s="875" t="n"/>
      <c r="G53" s="1081" t="n"/>
      <c r="H53" s="875" t="n"/>
      <c r="I53" s="1798" t="n"/>
      <c r="J53" s="1798" t="n"/>
      <c r="K53" s="1798" t="n"/>
      <c r="L53" s="1798" t="n"/>
    </row>
    <row r="54" ht="75.75" customHeight="1" s="862">
      <c r="A54" s="1817" t="inlineStr">
        <is>
          <t>A</t>
        </is>
      </c>
      <c r="B54" s="1798" t="inlineStr">
        <is>
          <t>UPPER CONN. 3-1/2" TSH BLUE BOX 9.2 PPF SN 28 110 KSI
DESCRIPTION: 5 FEET XOVER
SAP: 130005011340
SUPPLIER: TENARIS
LOWER CONN. 3-1/2" VAM TOP PIN 9.2 PPF SN 28 110 KSI</t>
        </is>
      </c>
      <c r="C54" s="1799" t="n">
        <v>2.969</v>
      </c>
      <c r="D54" s="875" t="n"/>
      <c r="E54" s="1799" t="n">
        <v>3.937</v>
      </c>
      <c r="F54" s="875" t="n"/>
      <c r="G54" s="1818" t="n">
        <v>4.96</v>
      </c>
      <c r="H54" s="875" t="n"/>
      <c r="I54" s="1798" t="inlineStr">
        <is>
          <t>N/A</t>
        </is>
      </c>
      <c r="J54" s="1798" t="inlineStr">
        <is>
          <t>N/A</t>
        </is>
      </c>
      <c r="K54" s="1798" t="inlineStr">
        <is>
          <t>130005011340</t>
        </is>
      </c>
      <c r="L54" s="1798" t="inlineStr">
        <is>
          <t>N/A</t>
        </is>
      </c>
    </row>
    <row r="55" ht="90.75" customHeight="1" s="862">
      <c r="A55" s="1148" t="n"/>
      <c r="B55" s="1798" t="inlineStr">
        <is>
          <t>UPPER CONN. 3-1/2" VAM TOP 9.2#PPF BOX VM 28 110 KSI
DESCRIPTION: WIRELINE ENTRY GUIDE
SN: 16339547-10-008
PN 2996481
SAP: 130010036277
SUPPLIER: WEATHERFORD</t>
        </is>
      </c>
      <c r="C55" s="1799" t="n">
        <v>2.949</v>
      </c>
      <c r="D55" s="875" t="n"/>
      <c r="E55" s="1799" t="n">
        <v>3.937</v>
      </c>
      <c r="F55" s="875" t="n"/>
      <c r="G55" s="1818" t="n">
        <v>0.299</v>
      </c>
      <c r="H55" s="875" t="n"/>
      <c r="I55" s="1798" t="inlineStr">
        <is>
          <t>2996481</t>
        </is>
      </c>
      <c r="J55" s="1798" t="inlineStr">
        <is>
          <t>16339547-10-008</t>
        </is>
      </c>
      <c r="K55" s="1798" t="inlineStr">
        <is>
          <t>130010036277</t>
        </is>
      </c>
      <c r="L55" s="1798" t="inlineStr">
        <is>
          <t>N/A</t>
        </is>
      </c>
    </row>
    <row r="56" ht="14.25" customHeight="1" s="862">
      <c r="B56" s="1798" t="n"/>
      <c r="C56" s="1799" t="n">
        <v>2.949</v>
      </c>
      <c r="D56" s="875" t="n"/>
      <c r="E56" s="1799" t="n">
        <v>3.937</v>
      </c>
      <c r="F56" s="875" t="n"/>
      <c r="G56" s="1081" t="n"/>
      <c r="H56" s="875" t="n"/>
      <c r="I56" s="1798" t="n"/>
      <c r="J56" s="1798" t="n"/>
      <c r="K56" s="1798" t="n"/>
      <c r="L56" s="1798"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2026-07-06T11:13:26Z</dcterms:modified>
  <cp:revision>2</cp:revision>
  <cp:lastPrinted>2026-06-18T07:20:43Z</cp:lastPrinted>
</cp:coreProperties>
</file>